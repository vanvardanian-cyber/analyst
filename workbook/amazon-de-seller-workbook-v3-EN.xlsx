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1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drawings/vmlDrawing8.vml" ContentType="application/vnd.openxmlformats-officedocument.vmlDrawing"/>
  <Override PartName="/xl/comments13.xml" ContentType="application/vnd.openxmlformats-officedocument.spreadsheetml.comments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3.xml.rels" ContentType="application/vnd.openxmlformats-package.relationships+xml"/>
  <Override PartName="/xl/worksheets/_rels/sheet13.xml.rels" ContentType="application/vnd.openxmlformats-package.relationships+xml"/>
  <Override PartName="/xl/worksheets/_rels/sheet12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xl/comments5.xml" ContentType="application/vnd.openxmlformats-officedocument.spreadsheetml.comments+xml"/>
  <Override PartName="/xl/theme/theme1.xml" ContentType="application/vnd.openxmlformats-officedocument.theme+xml"/>
  <Override PartName="/xl/comments8.xml" ContentType="application/vnd.openxmlformats-officedocument.spreadsheetml.comments+xml"/>
  <Override PartName="/xl/comments11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" sheetId="1" state="visible" r:id="rId3"/>
    <sheet name="Guide" sheetId="2" state="visible" r:id="rId4"/>
    <sheet name="1 Seasonality" sheetId="3" state="visible" r:id="rId5"/>
    <sheet name="2 Order timing" sheetId="4" state="visible" r:id="rId6"/>
    <sheet name="3 Unit economics" sheetId="5" state="visible" r:id="rId7"/>
    <sheet name="4 Selection" sheetId="6" state="visible" r:id="rId8"/>
    <sheet name="5 Niche scorecard" sheetId="7" state="visible" r:id="rId9"/>
    <sheet name="6 Order size" sheetId="8" state="visible" r:id="rId10"/>
    <sheet name="7 PPC planner" sheetId="9" state="visible" r:id="rId11"/>
    <sheet name="8 Cash flow" sheetId="10" state="visible" r:id="rId12"/>
    <sheet name="9 Monthly P&amp;L" sheetId="11" state="visible" r:id="rId13"/>
    <sheet name="10 Money recovery" sheetId="12" state="visible" r:id="rId14"/>
    <sheet name="11 Review themes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29" authorId="0">
      <text>
        <r>
          <rPr>
            <sz val="10"/>
            <rFont val="Arial"/>
            <family val="2"/>
          </rPr>
          <t xml:space="preserve">How many times bigger the best month is vs the worst. &lt;1.5 flat · 1.5-2.5 moderate · 2.5-4 strong · &gt;4 single-season (capital trap for a first product).</t>
        </r>
      </text>
    </comment>
    <comment ref="C34" authorId="0">
      <text>
        <r>
          <rPr>
            <sz val="10"/>
            <rFont val="Arial"/>
            <family val="2"/>
          </rPr>
          <t xml:space="preserve">First calendar month where the index crosses 1.00 upward. Dec-Jan wrap handled via flags in column I. If demand is bimodal, check all flags.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8" authorId="0">
      <text>
        <r>
          <rPr>
            <sz val="10"/>
            <rFont val="Arial"/>
            <family val="2"/>
          </rPr>
          <t xml:space="preserve">Georgian small-business status taxes turnover at 1%. Base assumed = ex-VAT sales; confirm with your accountant.</t>
        </r>
      </text>
    </comment>
    <comment ref="C31" authorId="0">
      <text>
        <r>
          <rPr>
            <sz val="10"/>
            <rFont val="Arial"/>
            <family val="2"/>
          </rPr>
          <t xml:space="preserve">Above this ACOS you lose money on every ad-driven unit. The Amazon ads console reports sales INCLUDING VAT, so this divides margin by the gross price — most templates get this wrong by 19%.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21" authorId="0">
      <text>
        <r>
          <rPr>
            <sz val="10"/>
            <rFont val="Arial"/>
            <family val="2"/>
          </rPr>
          <t xml:space="preserve">Why order above average when margin is high: a missed sale costs you the full margin; a leftover unit only costs landed minus recovery. When Cu &gt; Co, under-ordering is the bigger mistake.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8" authorId="0">
      <text>
        <r>
          <rPr>
            <sz val="10"/>
            <rFont val="Arial"/>
            <family val="2"/>
          </rPr>
          <t xml:space="preserve">ACOS = ad spend ÷ ad-attributed sales (console measures sales incl. VAT). At this ACOS an ad-driven unit earns exactly zero. Spend above it only deliberately, during launch.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2" authorId="0">
      <text>
        <r>
          <rPr>
            <sz val="10"/>
            <rFont val="Arial"/>
            <family val="2"/>
          </rPr>
          <t xml:space="preserve">Einfuhrumsatzsteuer: paid at customs, recovered via your German monthly VAT return ~2 months later. It is a LOAN to the state, not a cost — but the cash must exist.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M5" authorId="0">
      <text>
        <r>
          <rPr>
            <sz val="10"/>
            <rFont val="Arial"/>
            <family val="2"/>
          </rPr>
          <t xml:space="preserve">TACOS = ad spend ÷ TOTAL gross sales. Falling TACOS while sales grow = organic rank is compounding. Rising TACOS = you are buying every sale.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Each flag = a lost/damaged/disposed event with no reimbursement row for the same FNSKU. Open a case: Help → FBA → Something else → Inventory reimbursement.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20" authorId="0">
      <text>
        <r>
          <rPr>
            <sz val="10"/>
            <rFont val="Arial"/>
            <family val="2"/>
          </rPr>
          <t xml:space="preserve">≥40% on a CORE feature = a product gap worth building against (Sheet 4 row). A dominant theme about shipping/packaging is Amazon's problem, not a product gap.</t>
        </r>
      </text>
    </comment>
  </commentList>
</comments>
</file>

<file path=xl/sharedStrings.xml><?xml version="1.0" encoding="utf-8"?>
<sst xmlns="http://schemas.openxmlformats.org/spreadsheetml/2006/main" count="501" uniqueCount="431">
  <si>
    <t xml:space="preserve">Amazon.de Seller Workbook — v3</t>
  </si>
  <si>
    <t xml:space="preserve">Choose the product, plan the order, track the money — one file. Follow the order below for a new product; every sheet links back here.</t>
  </si>
  <si>
    <t xml:space="preserve">Legend: BLUE on YELLOW = you type here · BLACK = formula, do not overwrite · GREEN = pulled from another sheet automatically.</t>
  </si>
  <si>
    <t xml:space="preserve">Cells with a small red corner marker have an (i) note — hover to read what the number means and what to do with it.</t>
  </si>
  <si>
    <t xml:space="preserve">Sheet</t>
  </si>
  <si>
    <t xml:space="preserve">What it answers</t>
  </si>
  <si>
    <t xml:space="preserve">Open</t>
  </si>
  <si>
    <t xml:space="preserve">Where you stand (live)</t>
  </si>
  <si>
    <t xml:space="preserve">Guide</t>
  </si>
  <si>
    <t xml:space="preserve">How to use the file + where every report lives</t>
  </si>
  <si>
    <t xml:space="preserve">1 Seasonality</t>
  </si>
  <si>
    <t xml:space="preserve">Is demand seasonal? When does it ramp?</t>
  </si>
  <si>
    <t xml:space="preserve">2 Order timing</t>
  </si>
  <si>
    <t xml:space="preserve">By when must the order be placed?</t>
  </si>
  <si>
    <t xml:space="preserve">3 Unit economics</t>
  </si>
  <si>
    <t xml:space="preserve">Do I earn enough per unit before ads?</t>
  </si>
  <si>
    <t xml:space="preserve">4 Selection</t>
  </si>
  <si>
    <t xml:space="preserve">Does the product pass every gate?</t>
  </si>
  <si>
    <t xml:space="preserve">5 Niche scorecard</t>
  </si>
  <si>
    <t xml:space="preserve">Which candidate deserves my research time?</t>
  </si>
  <si>
    <t xml:space="preserve">6 Order size</t>
  </si>
  <si>
    <t xml:space="preserve">How many units in the first order?</t>
  </si>
  <si>
    <t xml:space="preserve">7 PPC planner</t>
  </si>
  <si>
    <t xml:space="preserve">What can I pay for ads? Where is waste?</t>
  </si>
  <si>
    <t xml:space="preserve">8 Cash flow</t>
  </si>
  <si>
    <t xml:space="preserve">Do I stay above zero the whole year?</t>
  </si>
  <si>
    <t xml:space="preserve">9 Monthly P&amp;L</t>
  </si>
  <si>
    <t xml:space="preserve">Am I actually making money each month?</t>
  </si>
  <si>
    <t xml:space="preserve">10 Money recovery</t>
  </si>
  <si>
    <t xml:space="preserve">Does Amazon owe me money?</t>
  </si>
  <si>
    <t xml:space="preserve">11 Review themes</t>
  </si>
  <si>
    <t xml:space="preserve">Which complaint do I attack? Is the wall fake?</t>
  </si>
  <si>
    <t xml:space="preserve">New product path:  1 → 2 → 3 → 4  (run 5 to compare several niches)  → 6 → 7 → 8, then order.</t>
  </si>
  <si>
    <t xml:space="preserve">Already selling:  9 → 10 → 11 once a month, 7 every two weeks.</t>
  </si>
  <si>
    <t xml:space="preserve">v3 · 2026-08-18 · Built for a non-EU (deemed supplier) seller on Amazon.de. Educational tool, not tax or legal advice.</t>
  </si>
  <si>
    <t xml:space="preserve">Guide: how to use this workbook</t>
  </si>
  <si>
    <t xml:space="preserve">The rules</t>
  </si>
  <si>
    <t xml:space="preserve">Blue text on yellow fill = you type here. Black = formula, never overwrite. Green = pulled from another sheet. Hover cells with a red corner marker for (i) explanations. Work sheets 1→8 in order for a new product; sheets 9–11 are your monthly routine after launch.</t>
  </si>
  <si>
    <t xml:space="preserve">Measure seasonality BEFORE profit math — it is faster and kills more candidates. Never measure seasonality on a listing younger than 18 months: a young listing's chart is launch curve + season, inseparable. Measure the CATEGORY on data that existed before the listing did.</t>
  </si>
  <si>
    <t xml:space="preserve">Where the research data comes from (sheets 1–5)</t>
  </si>
  <si>
    <t xml:space="preserve">Search history: Helium 10 Cerebro/Magnet → chart icon next to search volume → export. Amazon's own data: Product Opportunity Explorer in Seller Central (free). Old competitors' sales: Helium 10 Trendster, 3–5 ASINs older than 2 years. Same-month-last-year: Xray columns 'Last Year Sales' / 'Sales YoY'. Shape check: Google Trends, region Germany, 5-year window (relative values only — shape, never volume).</t>
  </si>
  <si>
    <t xml:space="preserve">BSR is a rank, weighted to recent sales: if a whole category halves in December, ranks barely move, so BSR UNDERSTATES seasonal amplitude. Use units or search volume for amplitude; BSR only to compare products at one moment.</t>
  </si>
  <si>
    <t xml:space="preserve">Where the operating reports live (sheets 7, 9, 10)</t>
  </si>
  <si>
    <t xml:space="preserve">Search Term Report (Sheet 7): Advertising console → Sponsored Products → Reports → Search term. Choose 30–60 days.</t>
  </si>
  <si>
    <t xml:space="preserve">Date Range / transaction totals (Sheet 9): Seller Central → Payments → Reports repository → Date Range Report (Summary).</t>
  </si>
  <si>
    <t xml:space="preserve">Inventory Adjustments (Sheet 10): Reports → Fulfilment by Amazon → Inventory → Inventory Adjustments. Filter reasons: Lost, Damaged, Disposed.</t>
  </si>
  <si>
    <t xml:space="preserve">Reimbursements (Sheet 10): Reports → Fulfilment by Amazon → Payments → Reimbursements.</t>
  </si>
  <si>
    <t xml:space="preserve">Reviews (Sheet 11): Helium 10 → Review Insights → export 1–3★ reviews of the top 5–10 ASINs, last 12 months. Cluster into themes with an AI assistant ('cluster these reviews into complaint themes with counts'), then enter the themes.</t>
  </si>
  <si>
    <t xml:space="preserve">Method sources</t>
  </si>
  <si>
    <t xml:space="preserve">Seasonal decomposition: Hyndman &amp; Athanasopoulos, Forecasting: Principles and Practice (free: https://otexts.com/fpp3/). Order sizing: the newsvendor model (operations research standard). Review mining: Archak, Ghose &amp; Ipeirotis, Management Science 2011. Fake-review signals: He, Hollenbeck &amp; Proserpio, Marketing Science 2022.</t>
  </si>
  <si>
    <t xml:space="preserve">What changed in v3</t>
  </si>
  <si>
    <t xml:space="preserve">Added: Start dashboard with live status per sheet · Sheet 6 first-order size (newsvendor) · Sheet 7 PPC planner with breakeven/target ACOS, TACOS, ROAS and a search-term waste finder · Sheet 8 twelve-month cash-flow plan incl. import-VAT refund timing · Sheet 9 monthly P&amp;L with TACOS tracking · Sheet 10 money-recovery audit (lost inventory matcher + FBA fee sanity check) · Sheet 11 review-theme analysis + fake-review checklist · (i) comments and back-links everywhere.</t>
  </si>
  <si>
    <t xml:space="preserve">Carried over from v2 (fixes to the original file): duty on CIF base · breakeven ACOS vs VAT-inclusive price · max EXW supplier ceiling · Georgian 1% turnover tax · Dec→Jan ramp wrap · incomplete-data guard on the seasonality verdict · IP + PPWR rows in the selection gates.</t>
  </si>
  <si>
    <t xml:space="preserve">This file is an educational tool, not tax, legal or investment advice. Amazon fees change every December/January — cross-check your category's rates in Seller Central before big decisions.</t>
  </si>
  <si>
    <t xml:space="preserve">Seasonality index from monthly demand</t>
  </si>
  <si>
    <t xml:space="preserve">Enter 24 months of search volume for the niche keyword. The sheet computes the shape of the year and a verdict.</t>
  </si>
  <si>
    <t xml:space="preserve">Keyword / niche</t>
  </si>
  <si>
    <t xml:space="preserve">fahrradhelm</t>
  </si>
  <si>
    <t xml:space="preserve">Example shown. Replace with your own export.</t>
  </si>
  <si>
    <t xml:space="preserve">Marketplace</t>
  </si>
  <si>
    <t xml:space="preserve">Amazon.de</t>
  </si>
  <si>
    <t xml:space="preserve">Data source</t>
  </si>
  <si>
    <t xml:space="preserve">H10 Cerebro Search Volume History</t>
  </si>
  <si>
    <t xml:space="preserve">Export date</t>
  </si>
  <si>
    <t xml:space="preserve">Month</t>
  </si>
  <si>
    <t xml:space="preserve">Volume yr 1</t>
  </si>
  <si>
    <t xml:space="preserve">Volume yr 2</t>
  </si>
  <si>
    <t xml:space="preserve">Avg volume</t>
  </si>
  <si>
    <t xml:space="preserve">Index</t>
  </si>
  <si>
    <t xml:space="preserve">YoY %</t>
  </si>
  <si>
    <t xml:space="preserve">Notes</t>
  </si>
  <si>
    <t xml:space="preserve">Flag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</si>
  <si>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</si>
  <si>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</si>
  <si>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</si>
  <si>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</si>
  <si>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</si>
  <si>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</si>
  <si>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</si>
  <si>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</si>
  <si>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</si>
  <si>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</si>
  <si>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</si>
  <si>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</si>
  <si>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Total</t>
  </si>
  <si>
    <t xml:space="preserve">Results</t>
  </si>
  <si>
    <t xml:space="preserve">Peak month</t>
  </si>
  <si>
    <t xml:space="preserve">Lowest month</t>
  </si>
  <si>
    <t xml:space="preserve">Peak index</t>
  </si>
  <si>
    <t xml:space="preserve">Lowest index</t>
  </si>
  <si>
    <t xml:space="preserve">Amplitude (peak / lowest non-zero)</t>
  </si>
  <si>
    <t xml:space="preserve">Top-4 months' share of the year</t>
  </si>
  <si>
    <t xml:space="preserve">Category growth year over year</t>
  </si>
  <si>
    <t xml:space="preserve">Months with data (needs 12)</t>
  </si>
  <si>
    <t xml:space="preserve">Verdict</t>
  </si>
  <si>
    <t xml:space="preserve">Ramp month (index crosses 1.00 upward)</t>
  </si>
  <si>
    <t xml:space="preserve">Amplitude = shape of the year; YoY = does the category grow. They answer different questions.</t>
  </si>
  <si>
    <t xml:space="preserve">Top-4 share above 60% = a four-month business carrying twelve months of costs.</t>
  </si>
  <si>
    <t xml:space="preserve">Back-calculating the order date from the ramp month</t>
  </si>
  <si>
    <t xml:space="preserve">Target on-stock date = 4 weeks before the ramp month from Sheet 1.</t>
  </si>
  <si>
    <t xml:space="preserve">Ramp month (from Sheet 1)</t>
  </si>
  <si>
    <t xml:space="preserve">Suggested on-stock date (1st of ramp month − 28 days)</t>
  </si>
  <si>
    <t xml:space="preserve">Target on-stock date (your choice)</t>
  </si>
  <si>
    <t xml:space="preserve">Defaults to the suggested date. Land earlier if peak-season check-in delays are likely.</t>
  </si>
  <si>
    <t xml:space="preserve">Supply-cycle stage</t>
  </si>
  <si>
    <t xml:space="preserve">Days</t>
  </si>
  <si>
    <t xml:space="preserve">Certification / test protocols (0 if unregulated)</t>
  </si>
  <si>
    <t xml:space="preserve">PPE, electrical, toys: add 60–120 days.</t>
  </si>
  <si>
    <t xml:space="preserve">Supplier selection and samples</t>
  </si>
  <si>
    <t xml:space="preserve">Two sample rounds is normal.</t>
  </si>
  <si>
    <t xml:space="preserve">Production</t>
  </si>
  <si>
    <t xml:space="preserve">30–45 days for a 300–1,000-unit batch.</t>
  </si>
  <si>
    <t xml:space="preserve">Factory holiday buffer (CNY, Golden Week)</t>
  </si>
  <si>
    <t xml:space="preserve">Chinese New Year (late Jan–Feb): add 20–30 days. Golden Week (early Oct): add ~7.</t>
  </si>
  <si>
    <t xml:space="preserve">Sea freight to Germany</t>
  </si>
  <si>
    <t xml:space="preserve">35–45 days port-to-port plus the inland leg.</t>
  </si>
  <si>
    <t xml:space="preserve">Customs clearance</t>
  </si>
  <si>
    <t xml:space="preserve">3–7 days. Non-EU importer: you need an EORI and normally an indirect customs representative (usually the forwarder). Agree incoterms before production starts.</t>
  </si>
  <si>
    <t xml:space="preserve">FBA inbound and check-in</t>
  </si>
  <si>
    <t xml:space="preserve">7–14 days, longer in Q4.</t>
  </si>
  <si>
    <t xml:space="preserve">Safety buffer</t>
  </si>
  <si>
    <t xml:space="preserve">Never set this to zero.</t>
  </si>
  <si>
    <t xml:space="preserve">Total lead time (days)</t>
  </si>
  <si>
    <t xml:space="preserve">Order must be placed by</t>
  </si>
  <si>
    <t xml:space="preserve">Days from today</t>
  </si>
  <si>
    <t xml:space="preserve">Negative = the season is already lost. Plan next year or change the product.</t>
  </si>
  <si>
    <t xml:space="preserve">Contribution margin per unit, Amazon.de</t>
  </si>
  <si>
    <t xml:space="preserve">Non-EU seller: Amazon acts as deemed supplier, so the 19% German VAT never reaches you. Net revenue = gross / 1.19.</t>
  </si>
  <si>
    <t xml:space="preserve">Inputs</t>
  </si>
  <si>
    <t xml:space="preserve">Sale price, gross incl. VAT (EUR)</t>
  </si>
  <si>
    <t xml:space="preserve">What the buyer pays.</t>
  </si>
  <si>
    <t xml:space="preserve">VAT rate</t>
  </si>
  <si>
    <t xml:space="preserve">German standard rate.</t>
  </si>
  <si>
    <t xml:space="preserve">Referral fee rate</t>
  </si>
  <si>
    <t xml:space="preserve">Check your category — Dec 2025/Jan 2026 updates cut several sub-€20 categories.</t>
  </si>
  <si>
    <t xml:space="preserve">Referral charged on gross price? 1=yes 0=no</t>
  </si>
  <si>
    <t xml:space="preserve">Amazon EU charges referral fees on the VAT-inclusive total sales price — leave at 1.</t>
  </si>
  <si>
    <t xml:space="preserve">FBA fulfilment fee (EUR)</t>
  </si>
  <si>
    <t xml:space="preserve">From the listing or the Revenue Calculator.</t>
  </si>
  <si>
    <t xml:space="preserve">Storage per unit sold (EUR)</t>
  </si>
  <si>
    <t xml:space="preserve">Litres × monthly rate × months of cover. Oct–Dec rates are ~2–3× higher.</t>
  </si>
  <si>
    <t xml:space="preserve">Returns rate</t>
  </si>
  <si>
    <t xml:space="preserve">Size/fit products run 8–12%.</t>
  </si>
  <si>
    <t xml:space="preserve">Return cost, share of net price</t>
  </si>
  <si>
    <t xml:space="preserve">Lost fees + processing + unsellable stock.</t>
  </si>
  <si>
    <t xml:space="preserve">EXW unit cost (EUR)</t>
  </si>
  <si>
    <t xml:space="preserve">Supplier price.</t>
  </si>
  <si>
    <t xml:space="preserve">Freight per unit (EUR)</t>
  </si>
  <si>
    <t xml:space="preserve">Rate per m³ × unit volume.</t>
  </si>
  <si>
    <t xml:space="preserve">Import duty rate (on CIF value)</t>
  </si>
  <si>
    <t xml:space="preserve">Check the TARIC code. Duty base = goods + freight, not EXW alone.</t>
  </si>
  <si>
    <t xml:space="preserve">Prep, labels, inspection per unit (EUR)</t>
  </si>
  <si>
    <t xml:space="preserve">Incl. GPSR &amp; EPR marking.</t>
  </si>
  <si>
    <t xml:space="preserve">Turnover tax rate (home country)</t>
  </si>
  <si>
    <t xml:space="preserve">Georgian small-business IE: 1% of turnover. Confirm the base with your accountant.</t>
  </si>
  <si>
    <t xml:space="preserve">Calculation</t>
  </si>
  <si>
    <t xml:space="preserve">Net revenue (ex VAT)</t>
  </si>
  <si>
    <t xml:space="preserve">Referral fee</t>
  </si>
  <si>
    <t xml:space="preserve">FBA fulfilment fee</t>
  </si>
  <si>
    <t xml:space="preserve">Storage</t>
  </si>
  <si>
    <t xml:space="preserve">Cost of returns</t>
  </si>
  <si>
    <t xml:space="preserve">Net after Amazon (payout per unit)</t>
  </si>
  <si>
    <t xml:space="preserve">What Amazon disburses per unit sold, before your own costs.</t>
  </si>
  <si>
    <t xml:space="preserve">Landed cost per unit</t>
  </si>
  <si>
    <t xml:space="preserve">Duty on CIF base: (EXW + freight) × duty rate.</t>
  </si>
  <si>
    <t xml:space="preserve">Turnover tax (on net revenue)</t>
  </si>
  <si>
    <t xml:space="preserve">Contribution margin per unit</t>
  </si>
  <si>
    <t xml:space="preserve">Margin on net revenue</t>
  </si>
  <si>
    <t xml:space="preserve">Target: 35%+ before advertising.</t>
  </si>
  <si>
    <t xml:space="preserve">Breakeven ACOS (ad console basis)</t>
  </si>
  <si>
    <t xml:space="preserve">The console measures sales incl. VAT → divide by the GROSS price.</t>
  </si>
  <si>
    <t xml:space="preserve">Max landed cost at 35% margin</t>
  </si>
  <si>
    <t xml:space="preserve">Max EXW price to quote supplier</t>
  </si>
  <si>
    <t xml:space="preserve">Hand THIS number to the supplier as your ceiling.</t>
  </si>
  <si>
    <t xml:space="preserve">Import VAT (19%) is paid at customs on customs value + duty and is recoverable via your German VAT registration — a cash-flow item (see Sheet 8), not a unit cost.</t>
  </si>
  <si>
    <t xml:space="preserve">Cross-check the FBA fee against real dimensions: €4.55 is not a 12 cm box. H10 exports sometimes mislabel inches as cm.</t>
  </si>
  <si>
    <t xml:space="preserve">Selection checklist. Any NO in block A is an automatic reject.</t>
  </si>
  <si>
    <t xml:space="preserve">A. Compliance &amp; IP exclusions — YES only if this does NOT apply.</t>
  </si>
  <si>
    <t xml:space="preserve">Passed?</t>
  </si>
  <si>
    <t xml:space="preserve">Not worn for body protection (EU PPE Regulation 2016/425)</t>
  </si>
  <si>
    <t xml:space="preserve">YES</t>
  </si>
  <si>
    <t xml:space="preserve">Helmets, harnesses, goggles, gloves, hi-vis. Cat II needs a notified body.</t>
  </si>
  <si>
    <t xml:space="preserve">No battery, plug, motor or LED</t>
  </si>
  <si>
    <t xml:space="preserve">Triggers LVD, EMC, RoHS, WEEE, BattG.</t>
  </si>
  <si>
    <t xml:space="preserve">Not intended for children under 14</t>
  </si>
  <si>
    <t xml:space="preserve">Toy Safety Directive 2009/48/EC.</t>
  </si>
  <si>
    <t xml:space="preserve">No contact with food, drink or skin</t>
  </si>
  <si>
    <t xml:space="preserve">LFGB, cosmetics regulation, migration tests.</t>
  </si>
  <si>
    <t xml:space="preserve">No medical, health or veterinary claims</t>
  </si>
  <si>
    <t xml:space="preserve">MDR, health-claims rules.</t>
  </si>
  <si>
    <t xml:space="preserve">Nothing load-bearing, nothing that arrests a fall</t>
  </si>
  <si>
    <t xml:space="preserve">The PPE trap under another name.</t>
  </si>
  <si>
    <t xml:space="preserve">No blocking IP: designs, patents, trademarks checked</t>
  </si>
  <si>
    <t xml:space="preserve">EUIPO eSearch, DPMA register, Google Patents. Design infringement is the #1 private-label account killer in DE.</t>
  </si>
  <si>
    <t xml:space="preserve">EU Responsible Person appointed (GPSR)</t>
  </si>
  <si>
    <t xml:space="preserve">Mandatory for a non-EU seller on any consumer product.</t>
  </si>
  <si>
    <t xml:space="preserve">Packaging EPR done: LUCID + PPWR authorised representative</t>
  </si>
  <si>
    <t xml:space="preserve">LUCID mandatory since 2022; PPWR AR duty applies since 12 Aug 2026.</t>
  </si>
  <si>
    <t xml:space="preserve">B. Demand and competition</t>
  </si>
  <si>
    <t xml:space="preserve">Page-1 revenue of €40,000+/month</t>
  </si>
  <si>
    <t xml:space="preserve">Xray: sum of top-10 organic results.</t>
  </si>
  <si>
    <t xml:space="preserve">Top ASIN holds under 40% of page revenue</t>
  </si>
  <si>
    <t xml:space="preserve">Higher = one brand plus noise.</t>
  </si>
  <si>
    <t xml:space="preserve">At least 2 page-1 listings launched in last 12 months</t>
  </si>
  <si>
    <t xml:space="preserve">Proves entry still works.</t>
  </si>
  <si>
    <t xml:space="preserve">Zero to two page-1 ASINs above 500 reviews</t>
  </si>
  <si>
    <t xml:space="preserve">Count REAL reviews — run Sheet 11's fake check first.</t>
  </si>
  <si>
    <t xml:space="preserve">No Amazon Basics / Amazon Retail on page 1</t>
  </si>
  <si>
    <t xml:space="preserve">China + Hong Kong sellers under 60% of page 1</t>
  </si>
  <si>
    <t xml:space="preserve">A dominant negative-review theme of at least 40%</t>
  </si>
  <si>
    <t xml:space="preserve">From Sheet 11.</t>
  </si>
  <si>
    <t xml:space="preserve">Weakest page-1 ASINs rated 4.3 or below</t>
  </si>
  <si>
    <t xml:space="preserve">A 4.7 field gives no point of attack.</t>
  </si>
  <si>
    <t xml:space="preserve">C. Seasonality and cash</t>
  </si>
  <si>
    <t xml:space="preserve">Amplitude below 2.5x, OR the order lands before the ramp</t>
  </si>
  <si>
    <t xml:space="preserve">Sheets 1 + 2.</t>
  </si>
  <si>
    <t xml:space="preserve">Top-4 months hold under 60% of the year</t>
  </si>
  <si>
    <t xml:space="preserve">The order-by date is still in the future</t>
  </si>
  <si>
    <t xml:space="preserve">Sheet 2.</t>
  </si>
  <si>
    <t xml:space="preserve">Contribution margin 35%+ before advertising</t>
  </si>
  <si>
    <t xml:space="preserve">Sheet 3.</t>
  </si>
  <si>
    <t xml:space="preserve">Order + compliance + launch ads fit budget incl. reorder reserve</t>
  </si>
  <si>
    <t xml:space="preserve">Sheets 6 + 7 + 8.</t>
  </si>
  <si>
    <t xml:space="preserve">Block A result</t>
  </si>
  <si>
    <t xml:space="preserve">Block B score</t>
  </si>
  <si>
    <t xml:space="preserve">Block C score</t>
  </si>
  <si>
    <t xml:space="preserve">Go ahead only if A = CLEAN, B ≥ 7/8, C = 5/5.</t>
  </si>
  <si>
    <t xml:space="preserve">Niche comparison scorecard — up to 8 candidates</t>
  </si>
  <si>
    <t xml:space="preserve">Fill the yellow inputs from Xray/Cerebro and from Sheets 1–3 run per niche. Any hard gate failure disqualifies regardless of score.</t>
  </si>
  <si>
    <t xml:space="preserve">Budget incl. reorder reserve (EUR)</t>
  </si>
  <si>
    <t xml:space="preserve">Source</t>
  </si>
  <si>
    <t xml:space="preserve">Niche 1</t>
  </si>
  <si>
    <t xml:space="preserve">Niche 2</t>
  </si>
  <si>
    <t xml:space="preserve">Niche 3</t>
  </si>
  <si>
    <t xml:space="preserve">Niche 4</t>
  </si>
  <si>
    <t xml:space="preserve">Niche 5</t>
  </si>
  <si>
    <t xml:space="preserve">Niche 6</t>
  </si>
  <si>
    <t xml:space="preserve">Niche 7</t>
  </si>
  <si>
    <t xml:space="preserve">Niche 8</t>
  </si>
  <si>
    <t xml:space="preserve">Niche / keyword</t>
  </si>
  <si>
    <t xml:space="preserve">—</t>
  </si>
  <si>
    <t xml:space="preserve">Avg monthly search volume (context, not scored)</t>
  </si>
  <si>
    <t xml:space="preserve">Cerebro</t>
  </si>
  <si>
    <t xml:space="preserve">Page-1 revenue, €/month</t>
  </si>
  <si>
    <t xml:space="preserve">Xray</t>
  </si>
  <si>
    <t xml:space="preserve">Top ASIN share of page-1 revenue</t>
  </si>
  <si>
    <t xml:space="preserve">Page-1 ASINs with &gt;500 REAL reviews (count)</t>
  </si>
  <si>
    <t xml:space="preserve">Xray + Sheet 11</t>
  </si>
  <si>
    <t xml:space="preserve">Page-1 listings launched in last 12 months</t>
  </si>
  <si>
    <t xml:space="preserve">Weak competitor rated ≤4.3 exists? (1/0)</t>
  </si>
  <si>
    <t xml:space="preserve">China + HK share of page 1</t>
  </si>
  <si>
    <t xml:space="preserve">Seasonality amplitude</t>
  </si>
  <si>
    <t xml:space="preserve">Sheet 1</t>
  </si>
  <si>
    <t xml:space="preserve">Top-4 months' share of year</t>
  </si>
  <si>
    <t xml:space="preserve">Contribution margin, % of net</t>
  </si>
  <si>
    <t xml:space="preserve">Sheet 3</t>
  </si>
  <si>
    <t xml:space="preserve">First order + compliance cash need, €</t>
  </si>
  <si>
    <t xml:space="preserve">Sheets 6+8</t>
  </si>
  <si>
    <t xml:space="preserve">Compliance block A passed? (YES/NO)</t>
  </si>
  <si>
    <t xml:space="preserve">Sheet 4</t>
  </si>
  <si>
    <t xml:space="preserve">NO</t>
  </si>
  <si>
    <t xml:space="preserve">Scores (auto, 0–2 each)</t>
  </si>
  <si>
    <t xml:space="preserve">Weight</t>
  </si>
  <si>
    <t xml:space="preserve">Demand: page-1 revenue</t>
  </si>
  <si>
    <t xml:space="preserve">Fragmentation: top-ASIN share</t>
  </si>
  <si>
    <t xml:space="preserve">Review moat</t>
  </si>
  <si>
    <t xml:space="preserve">Fresh entrants</t>
  </si>
  <si>
    <t xml:space="preserve">Weak competitor to attack</t>
  </si>
  <si>
    <t xml:space="preserve">CN/HK saturation</t>
  </si>
  <si>
    <t xml:space="preserve">Top-4 concentration</t>
  </si>
  <si>
    <t xml:space="preserve">Margin</t>
  </si>
  <si>
    <t xml:space="preserve">Cash fit vs budget</t>
  </si>
  <si>
    <t xml:space="preserve">Weighted score (0–100)</t>
  </si>
  <si>
    <t xml:space="preserve">Hard gates</t>
  </si>
  <si>
    <t xml:space="preserve">≥70 investigate · 50–69 park · &lt;50 drop · any DISQUALIFIED = drop regardless of score.</t>
  </si>
  <si>
    <t xml:space="preserve">The score ranks research time. The final go/no-go is Sheets 1–4, never this score. Example column: a decent score killed by a hard gate — helmets are PPE Cat II.</t>
  </si>
  <si>
    <t xml:space="preserve">First order size — newsvendor model</t>
  </si>
  <si>
    <t xml:space="preserve">Balances the margin you lose on a missed sale against the cost of a leftover unit. Give it a pessimistic and an optimistic season estimate; it returns the profit-maximizing quantity.</t>
  </si>
  <si>
    <t xml:space="preserve">Pessimistic season sales, units (P10)</t>
  </si>
  <si>
    <t xml:space="preserve">Only ~10% chance sales come in below this. From Xray page-1 revenue × the share you think you can take.</t>
  </si>
  <si>
    <t xml:space="preserve">Optimistic season sales, units (P90)</t>
  </si>
  <si>
    <t xml:space="preserve">Only ~10% chance above this.</t>
  </si>
  <si>
    <t xml:space="preserve">Value recovered per leftover unit (EUR)</t>
  </si>
  <si>
    <t xml:space="preserve">Clearance, Outlet, or removal — net of fees.</t>
  </si>
  <si>
    <t xml:space="preserve">Extra storage/removal per leftover unit (EUR)</t>
  </si>
  <si>
    <t xml:space="preserve">Incl. aged-inventory surcharge risk.</t>
  </si>
  <si>
    <t xml:space="preserve">MOQ (units)</t>
  </si>
  <si>
    <t xml:space="preserve">Supplier minimum.</t>
  </si>
  <si>
    <t xml:space="preserve">Budget for this PO (EUR)</t>
  </si>
  <si>
    <t xml:space="preserve">Cash available for goods (not ads).</t>
  </si>
  <si>
    <t xml:space="preserve">From other sheets</t>
  </si>
  <si>
    <t xml:space="preserve">Contribution margin per unit (Cu)</t>
  </si>
  <si>
    <t xml:space="preserve">Expected season demand (mu)</t>
  </si>
  <si>
    <t xml:space="preserve">Demand uncertainty (sigma)</t>
  </si>
  <si>
    <t xml:space="preserve">Converts your P10–P90 range into a standard deviation.</t>
  </si>
  <si>
    <t xml:space="preserve">Cost of one leftover unit (Co)</t>
  </si>
  <si>
    <t xml:space="preserve">Landed + extra storage − recovery.</t>
  </si>
  <si>
    <t xml:space="preserve">Critical ratio Cu/(Cu+Co)</t>
  </si>
  <si>
    <t xml:space="preserve">The service level to buy. Above 50% = order MORE than average demand.</t>
  </si>
  <si>
    <t xml:space="preserve">Optimal quantity (unconstrained)</t>
  </si>
  <si>
    <t xml:space="preserve">Max affordable units (budget / landed)</t>
  </si>
  <si>
    <t xml:space="preserve">RECOMMENDED ORDER</t>
  </si>
  <si>
    <t xml:space="preserve">Optimum clamped to MOQ and budget.</t>
  </si>
  <si>
    <t xml:space="preserve">z at recommended quantity</t>
  </si>
  <si>
    <t xml:space="preserve">Expected lost sales (units)</t>
  </si>
  <si>
    <t xml:space="preserve">Expected leftover (units)</t>
  </si>
  <si>
    <t xml:space="preserve">Expected season contribution (EUR)</t>
  </si>
  <si>
    <t xml:space="preserve">For a year-round product this sizes the seasonal chunk; you can reorder, so lean toward the lower end and reorder fast.</t>
  </si>
  <si>
    <t xml:space="preserve">PPC planner — economics, launch budget, waste finder</t>
  </si>
  <si>
    <t xml:space="preserve">Top: what you can afford to pay for ads. Bottom: paste your Search Term Report and see the money leaking.</t>
  </si>
  <si>
    <t xml:space="preserve">Ad economics</t>
  </si>
  <si>
    <t xml:space="preserve">Gross price (incl. VAT)</t>
  </si>
  <si>
    <t xml:space="preserve">Breakeven ACOS</t>
  </si>
  <si>
    <t xml:space="preserve">Breakeven ROAS</t>
  </si>
  <si>
    <t xml:space="preserve">Share of margin given to ads at steady state</t>
  </si>
  <si>
    <t xml:space="preserve">0.30 = you keep 70% of margin, ads take 30%.</t>
  </si>
  <si>
    <t xml:space="preserve">Target ACOS (profit phase)</t>
  </si>
  <si>
    <t xml:space="preserve">Target ROAS</t>
  </si>
  <si>
    <t xml:space="preserve">Launch budget</t>
  </si>
  <si>
    <t xml:space="preserve">Target ad-driven orders per day</t>
  </si>
  <si>
    <t xml:space="preserve">Estimated CPC (EUR)</t>
  </si>
  <si>
    <t xml:space="preserve">Estimated conversion rate</t>
  </si>
  <si>
    <t xml:space="preserve">Clicks per order = 1 / CVR. 10% is a decent listing; below 7% fix the listing, not the bids.</t>
  </si>
  <si>
    <t xml:space="preserve">Daily ad spend</t>
  </si>
  <si>
    <t xml:space="preserve">Launch length (weeks)</t>
  </si>
  <si>
    <t xml:space="preserve">Launch ad budget</t>
  </si>
  <si>
    <t xml:space="preserve">TACOS = ad spend ÷ TOTAL sales (ads + organic). Track it monthly in Sheet 9 — healthy: falling while sales grow.</t>
  </si>
  <si>
    <t xml:space="preserve">Waste finder — summary</t>
  </si>
  <si>
    <t xml:space="preserve">Flag 0-order terms with clicks ≥</t>
  </si>
  <si>
    <t xml:space="preserve">…or spend ≥ (EUR)</t>
  </si>
  <si>
    <t xml:space="preserve">Wasted spend on 0-order terms</t>
  </si>
  <si>
    <t xml:space="preserve">Negative-keyword candidates</t>
  </si>
  <si>
    <t xml:space="preserve">Paste your Search Term Report below (Ads console → Sponsored Products → Reports → Search term, 30–60 days). First 3 rows are examples — overwrite them.</t>
  </si>
  <si>
    <t xml:space="preserve">Search term</t>
  </si>
  <si>
    <t xml:space="preserve">Clicks</t>
  </si>
  <si>
    <t xml:space="preserve">Spend €</t>
  </si>
  <si>
    <t xml:space="preserve">Orders</t>
  </si>
  <si>
    <t xml:space="preserve">Sales €</t>
  </si>
  <si>
    <t xml:space="preserve">fahrradhelm herren</t>
  </si>
  <si>
    <t xml:space="preserve">helm kinder</t>
  </si>
  <si>
    <t xml:space="preserve">motorradhelm</t>
  </si>
  <si>
    <t xml:space="preserve">First-order cash plan — 12 months</t>
  </si>
  <si>
    <t xml:space="preserve">Money leaves in lumps and comes back as a drip. If the cumulative line goes below zero, the plan is not funded.</t>
  </si>
  <si>
    <t xml:space="preserve">Order quantity</t>
  </si>
  <si>
    <t xml:space="preserve">PO value (goods, landed)</t>
  </si>
  <si>
    <t xml:space="preserve">Deposit share at order (month 0)</t>
  </si>
  <si>
    <t xml:space="preserve">Balance paid in month #</t>
  </si>
  <si>
    <t xml:space="preserve">Goods arrive in month #</t>
  </si>
  <si>
    <t xml:space="preserve">Import VAT paid at arrival (≈19% of PO)</t>
  </si>
  <si>
    <t xml:space="preserve">Import VAT refunded after (months)</t>
  </si>
  <si>
    <t xml:space="preserve">Amazon payout per unit sold</t>
  </si>
  <si>
    <t xml:space="preserve">Starting cash available (EUR)</t>
  </si>
  <si>
    <t xml:space="preserve">Units sold</t>
  </si>
  <si>
    <t xml:space="preserve">Ads+fixed €</t>
  </si>
  <si>
    <t xml:space="preserve">Cash out €</t>
  </si>
  <si>
    <t xml:space="preserve">Cash in €</t>
  </si>
  <si>
    <t xml:space="preserve">Net €</t>
  </si>
  <si>
    <t xml:space="preserve">Cumulative €</t>
  </si>
  <si>
    <t xml:space="preserve">Units plan: copy the seasonal shape from Sheet 1; example follows a spring ramp.</t>
  </si>
  <si>
    <t xml:space="preserve">Ads column: launch-heavy, from Sheet 7's launch budget, then steady state.</t>
  </si>
  <si>
    <t xml:space="preserve">Lowest cash point</t>
  </si>
  <si>
    <t xml:space="preserve">Not included: your salary, Georgian 1% tax timing, the reorder. Add the reorder as extra cash-out rows when you plan it — running out of stock in season kills launches (Sheet 4, block C).</t>
  </si>
  <si>
    <t xml:space="preserve">Monthly P&amp;L — the real profit, per month</t>
  </si>
  <si>
    <t xml:space="preserve">Fill monthly from Payments → Reports repository → Date Range Report (Summary) and the Ads console. Enter costs as POSITIVE numbers. Row 6 is an example — overwrite it.</t>
  </si>
  <si>
    <t xml:space="preserve">Units</t>
  </si>
  <si>
    <t xml:space="preserve">Gross sales €</t>
  </si>
  <si>
    <t xml:space="preserve">Amazon fees €</t>
  </si>
  <si>
    <t xml:space="preserve">Refunds €</t>
  </si>
  <si>
    <t xml:space="preserve">PPC €</t>
  </si>
  <si>
    <t xml:space="preserve">Storage+other €</t>
  </si>
  <si>
    <t xml:space="preserve">COGS € (auto)</t>
  </si>
  <si>
    <t xml:space="preserve">Tax € (auto)</t>
  </si>
  <si>
    <t xml:space="preserve">Net profit €</t>
  </si>
  <si>
    <t xml:space="preserve">Margin %</t>
  </si>
  <si>
    <t xml:space="preserve">TACOS</t>
  </si>
  <si>
    <t xml:space="preserve">Net profit = gross/1.19 − fees − refunds − PPC − storage − COGS − 1% turnover tax. VAT never reaches you (deemed supplier), so it is excluded on both sides.</t>
  </si>
  <si>
    <t xml:space="preserve">Cross-check: Margin % here should converge to Sheet 3's margin as volumes stabilize. If it is far lower, hunt the difference: storage, refunds, PPC.</t>
  </si>
  <si>
    <t xml:space="preserve">Money recovery — what Amazon owes you</t>
  </si>
  <si>
    <t xml:space="preserve">Sellers lose 1–3% of revenue to unclaimed reimbursements. The claim window is 60 DAYS, and since Mar 2025 auto-reimbursements cover only your manufacturing cost — check monthly, claim actively.</t>
  </si>
  <si>
    <t xml:space="preserve">Adjustments without a matching reimbursement:</t>
  </si>
  <si>
    <t xml:space="preserve">A — paste Inventory Adjustments (Reports → Fulfilment by Amazon → Inventory Adjustments; filter Lost, Damaged, Disposed). Rows 12–13 are examples.</t>
  </si>
  <si>
    <t xml:space="preserve">Date</t>
  </si>
  <si>
    <t xml:space="preserve">FNSKU</t>
  </si>
  <si>
    <t xml:space="preserve">Reason</t>
  </si>
  <si>
    <t xml:space="preserve">Qty</t>
  </si>
  <si>
    <t xml:space="preserve">Status</t>
  </si>
  <si>
    <t xml:space="preserve">X001ABC</t>
  </si>
  <si>
    <t xml:space="preserve">Lost</t>
  </si>
  <si>
    <t xml:space="preserve">X002DEF</t>
  </si>
  <si>
    <t xml:space="preserve">Damaged</t>
  </si>
  <si>
    <t xml:space="preserve">B — paste Reimbursements (Reports → Fulfilment by Amazon → Payments → Reimbursements). Row 68 is an example.</t>
  </si>
  <si>
    <t xml:space="preserve">Amount €</t>
  </si>
  <si>
    <t xml:space="preserve">C — FBA fee sanity check (fee overcharges from wrong measurements)</t>
  </si>
  <si>
    <t xml:space="preserve">Length (cm)</t>
  </si>
  <si>
    <t xml:space="preserve">Width (cm)</t>
  </si>
  <si>
    <t xml:space="preserve">Height (cm)</t>
  </si>
  <si>
    <t xml:space="preserve">Unit weight (g)</t>
  </si>
  <si>
    <t xml:space="preserve">FBA fee you are charged (EUR)</t>
  </si>
  <si>
    <t xml:space="preserve">Volume (litres)</t>
  </si>
  <si>
    <t xml:space="preserve">Longest side (cm)</t>
  </si>
  <si>
    <t xml:space="preserve">Compare volume, longest side and weight against the current size tiers in Seller Central → 'FBA fulfilment fees rate card'. If your true tier is smaller than the fee implies, request a re-measure (case: FBA → Fee dispute). Amazon's measurements drift — recheck after every restock.</t>
  </si>
  <si>
    <t xml:space="preserve">Monthly audit routine</t>
  </si>
  <si>
    <t xml:space="preserve">Done?</t>
  </si>
  <si>
    <t xml:space="preserve">Adjustments report pulled and pasted (last 60 days)</t>
  </si>
  <si>
    <t xml:space="preserve">Reimbursements report pulled and pasted</t>
  </si>
  <si>
    <t xml:space="preserve">All flags above opened as cases</t>
  </si>
  <si>
    <t xml:space="preserve">Returns: refunds older than 60 days without item back → claim</t>
  </si>
  <si>
    <t xml:space="preserve">FBA fee vs dimensions rechecked after last restock</t>
  </si>
  <si>
    <t xml:space="preserve">Review themes — find the complaint to attack</t>
  </si>
  <si>
    <t xml:space="preserve">Export 1–3★ reviews of the top 5–10 ASINs (H10 Review Insights, last 12 months). Ask an AI assistant: 'cluster these reviews into complaint themes with counts'. Enter the themes below. Example data shown — overwrite.</t>
  </si>
  <si>
    <t xml:space="preserve">Niche / ASIN set</t>
  </si>
  <si>
    <t xml:space="preserve">satteltasche fahrrad</t>
  </si>
  <si>
    <t xml:space="preserve">Complaint theme</t>
  </si>
  <si>
    <t xml:space="preserve">Count</t>
  </si>
  <si>
    <t xml:space="preserve">Share</t>
  </si>
  <si>
    <t xml:space="preserve">Wobbles / mount comes loose</t>
  </si>
  <si>
    <t xml:space="preserve">Straps tear</t>
  </si>
  <si>
    <t xml:space="preserve">Not actually waterproof</t>
  </si>
  <si>
    <t xml:space="preserve">Too small / fit unclear</t>
  </si>
  <si>
    <t xml:space="preserve">Zipper fails</t>
  </si>
  <si>
    <t xml:space="preserve">Dominant theme</t>
  </si>
  <si>
    <t xml:space="preserve">Its share of all complaints</t>
  </si>
  <si>
    <t xml:space="preserve">Fake-review check — YES = red flag present</t>
  </si>
  <si>
    <t xml:space="preserve">Review bursts: many reviews landing within a few days</t>
  </si>
  <si>
    <t xml:space="preserve">Rating drifting down over 6 months after an early 4.7+</t>
  </si>
  <si>
    <t xml:space="preserve">Generic / repeated phrasing, or wrong product described</t>
  </si>
  <si>
    <t xml:space="preserve">High share of unverified purchases</t>
  </si>
  <si>
    <t xml:space="preserve">Oldest reviews describe a DIFFERENT product (listing merge)</t>
  </si>
  <si>
    <t xml:space="preserve">Reviewer profiles: many unrelated 5★ reviews same day</t>
  </si>
  <si>
    <t xml:space="preserve">Red flags</t>
  </si>
  <si>
    <t xml:space="preserve">Keepa's review-count history chart shows bursts in ten seconds per ASIN. Method: He, Hollenbeck &amp; Proserpio, Marketing Science 2022.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</si>
</sst>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yyyy\-mm\-dd"/>
    <numFmt numFmtId="166" formatCode="#,##0"/>
    <numFmt numFmtId="167" formatCode="0.00"/>
    <numFmt numFmtId="168" formatCode="0.0%"/>
    <numFmt numFmtId="169" formatCode="General"/>
    <numFmt numFmtId="170" formatCode="0"/>
    <numFmt numFmtId="171" formatCode="#,##0.00&quot; €&quot;"/>
    <numFmt numFmtId="172" formatCode="0%"/>
    <numFmt numFmtId="173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3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4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5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6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7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8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B2:E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3" min="3" style="0" width="46"/>
    <col collapsed="false" customWidth="true" hidden="false" outlineLevel="0" max="4" min="4" style="0" width="9"/>
    <col collapsed="false" customWidth="true" hidden="false" outlineLevel="0" max="5" min="5" style="0" width="48"/>
  </cols>
  <sheetData>
    <row r="2" customFormat="false" ht="15" hidden="false" customHeight="false" outlineLevel="0" collapsed="false">
      <c r="B2" s="1" t="s">
        <v>0</v>
      </c>
    </row>
    <row r="3" customFormat="false" ht="68.65" hidden="false" customHeight="false" outlineLevel="0" collapsed="false">
      <c r="B3" s="2" t="s">
        <v>1</v>
      </c>
    </row>
    <row r="5" customFormat="false" ht="64.15" hidden="false" customHeight="false" outlineLevel="0" collapsed="false">
      <c r="B5" s="3" t="s">
        <v>2</v>
      </c>
    </row>
    <row r="6" customFormat="false" ht="53.7" hidden="false" customHeight="false" outlineLevel="0" collapsed="false">
      <c r="B6" s="3" t="s">
        <v>3</v>
      </c>
    </row>
    <row r="8" customFormat="false" ht="15" hidden="false" customHeight="false" outlineLevel="0" collapsed="false">
      <c r="B8" s="4" t="s">
        <v>4</v>
      </c>
      <c r="C8" s="4" t="s">
        <v>5</v>
      </c>
      <c r="D8" s="4" t="s">
        <v>6</v>
      </c>
      <c r="E8" s="4" t="s">
        <v>7</v>
      </c>
    </row>
    <row r="9" customFormat="false" ht="15" hidden="false" customHeight="false" outlineLevel="0" collapsed="false">
      <c r="B9" s="5" t="s">
        <v>8</v>
      </c>
      <c r="C9" s="2" t="s">
        <v>9</v>
      </c>
      <c r="D9" s="6" t="str">
        <f aca="false">HYPERLINK("#'Guide'!B2","Open →")</f>
        <v>Open →</v>
      </c>
      <c r="E9" s="7" t="str">
        <f aca="false">"read once before starting"</f>
        <v>read once before starting</v>
      </c>
    </row>
    <row r="10" customFormat="false" ht="15" hidden="false" customHeight="false" outlineLevel="0" collapsed="false">
      <c r="B10" s="5" t="s">
        <v>10</v>
      </c>
      <c r="C10" s="2" t="s">
        <v>11</v>
      </c>
      <c r="D10" s="6" t="str">
        <f aca="false">HYPERLINK("#'1 Seasonality'!B2","Open →")</f>
        <v>Open →</v>
      </c>
      <c r="E10" s="7" t="str">
        <f aca="false">IFERROR("amplitude "&amp;TEXT('1 Seasonality'!C29,"0.00")&amp;"x · ramp "&amp;'1 Seasonality'!C34,"fill Sheet 1")</f>
        <v>amplitude 5.15x · ramp Apr</v>
      </c>
    </row>
    <row r="11" customFormat="false" ht="15" hidden="false" customHeight="false" outlineLevel="0" collapsed="false">
      <c r="B11" s="5" t="s">
        <v>12</v>
      </c>
      <c r="C11" s="2" t="s">
        <v>13</v>
      </c>
      <c r="D11" s="6" t="str">
        <f aca="false">HYPERLINK("#'2 Order timing'!B2","Open →")</f>
        <v>Open →</v>
      </c>
      <c r="E11" s="7" t="str">
        <f aca="false">IFERROR("order by "&amp;TEXT('2 Order timing'!C20,"yyyy-mm-dd")&amp;" · "&amp;TEXT('2 Order timing'!C21,"0")&amp;" days left","fill Sheet 2")</f>
        <v>order by 2026-10-24 · 67 days left</v>
      </c>
    </row>
    <row r="12" customFormat="false" ht="15" hidden="false" customHeight="false" outlineLevel="0" collapsed="false">
      <c r="B12" s="5" t="s">
        <v>14</v>
      </c>
      <c r="C12" s="2" t="s">
        <v>15</v>
      </c>
      <c r="D12" s="6" t="str">
        <f aca="false">HYPERLINK("#'3 Unit economics'!B2","Open →")</f>
        <v>Open →</v>
      </c>
      <c r="E12" s="7" t="str">
        <f aca="false">IFERROR("margin "&amp;TEXT('3 Unit economics'!C30,"0.0%")&amp;" · breakeven ACOS "&amp;TEXT('3 Unit economics'!C31,"0.0%"),"fill Sheet 3")</f>
        <v>margin 40.3% · breakeven ACOS 33.9%</v>
      </c>
    </row>
    <row r="13" customFormat="false" ht="15" hidden="false" customHeight="false" outlineLevel="0" collapsed="false">
      <c r="B13" s="5" t="s">
        <v>16</v>
      </c>
      <c r="C13" s="2" t="s">
        <v>17</v>
      </c>
      <c r="D13" s="6" t="str">
        <f aca="false">HYPERLINK("#'4 Selection'!B2","Open →")</f>
        <v>Open →</v>
      </c>
      <c r="E13" s="7" t="str">
        <f aca="false">IFERROR("A: "&amp;'4 Selection'!C32&amp;" · B "&amp;'4 Selection'!C33&amp;" · C "&amp;'4 Selection'!C34,"fill Sheet 4")</f>
        <v>A: CLEAN · B 8 / 8 · C 5 / 5</v>
      </c>
    </row>
    <row r="14" customFormat="false" ht="15" hidden="false" customHeight="false" outlineLevel="0" collapsed="false">
      <c r="B14" s="5" t="s">
        <v>18</v>
      </c>
      <c r="C14" s="2" t="s">
        <v>19</v>
      </c>
      <c r="D14" s="6" t="str">
        <f aca="false">HYPERLINK("#'5 Niche scorecard'!B2","Open →")</f>
        <v>Open →</v>
      </c>
      <c r="E14" s="7" t="str">
        <f aca="false">IF(COUNT('5 Niche scorecard'!D32:K32)=0,"no niches scored yet","best score "&amp;TEXT(MAX('5 Niche scorecard'!D32:K32),"0")&amp;"/100")</f>
        <v>best score 65/100</v>
      </c>
    </row>
    <row r="15" customFormat="false" ht="15" hidden="false" customHeight="false" outlineLevel="0" collapsed="false">
      <c r="B15" s="5" t="s">
        <v>20</v>
      </c>
      <c r="C15" s="2" t="s">
        <v>21</v>
      </c>
      <c r="D15" s="6" t="str">
        <f aca="false">HYPERLINK("#'6 Order size'!B2","Open →")</f>
        <v>Open →</v>
      </c>
      <c r="E15" s="7" t="str">
        <f aca="false">IFERROR("order "&amp;TEXT('6 Order size'!C24,"#,##0")&amp;" units","fill Sheets 3 + 6")</f>
        <v>order 386 units</v>
      </c>
    </row>
    <row r="16" customFormat="false" ht="15" hidden="false" customHeight="false" outlineLevel="0" collapsed="false">
      <c r="B16" s="5" t="s">
        <v>22</v>
      </c>
      <c r="C16" s="2" t="s">
        <v>23</v>
      </c>
      <c r="D16" s="6" t="str">
        <f aca="false">HYPERLINK("#'7 PPC planner'!B2","Open →")</f>
        <v>Open →</v>
      </c>
      <c r="E16" s="7" t="str">
        <f aca="false">IFERROR("target ACOS "&amp;TEXT('7 PPC planner'!C11,"0.0%")&amp;" · wasted "&amp;TEXT('7 PPC planner'!C25,"#,##0")&amp;" € found","fill Sheet 7")</f>
        <v>target ACOS 10.2% · wasted 45 € found</v>
      </c>
    </row>
    <row r="17" customFormat="false" ht="15" hidden="false" customHeight="false" outlineLevel="0" collapsed="false">
      <c r="B17" s="5" t="s">
        <v>24</v>
      </c>
      <c r="C17" s="2" t="s">
        <v>25</v>
      </c>
      <c r="D17" s="6" t="str">
        <f aca="false">HYPERLINK("#'8 Cash flow'!B2","Open →")</f>
        <v>Open →</v>
      </c>
      <c r="E17" s="7" t="str">
        <f aca="false">IFERROR("lowest cash point "&amp;TEXT('8 Cash flow'!C32,"#,##0")&amp;" €","fill Sheet 8")</f>
        <v>lowest cash point 1,509 €</v>
      </c>
    </row>
    <row r="18" customFormat="false" ht="15" hidden="false" customHeight="false" outlineLevel="0" collapsed="false">
      <c r="B18" s="5" t="s">
        <v>26</v>
      </c>
      <c r="C18" s="2" t="s">
        <v>27</v>
      </c>
      <c r="D18" s="6" t="str">
        <f aca="false">HYPERLINK("#'9 Monthly P&amp;L'!B2","Open →")</f>
        <v>Open →</v>
      </c>
      <c r="E18" s="7" t="str">
        <f aca="false">IF('9 Monthly P&amp;L'!K18=0,"no months filled yet","YTD profit "&amp;TEXT('9 Monthly P&amp;L'!K18,"#,##0")&amp;" €")</f>
        <v>YTD profit 1,178 €</v>
      </c>
    </row>
    <row r="19" customFormat="false" ht="15" hidden="false" customHeight="false" outlineLevel="0" collapsed="false">
      <c r="B19" s="5" t="s">
        <v>28</v>
      </c>
      <c r="C19" s="2" t="s">
        <v>29</v>
      </c>
      <c r="D19" s="6" t="str">
        <f aca="false">HYPERLINK("#'10 Money recovery'!B2","Open →")</f>
        <v>Open →</v>
      </c>
      <c r="E19" s="7" t="str">
        <f aca="false">"unclaimed flags: "&amp;'10 Money recovery'!C5</f>
        <v>unclaimed flags: 1</v>
      </c>
    </row>
    <row r="20" customFormat="false" ht="15" hidden="false" customHeight="false" outlineLevel="0" collapsed="false">
      <c r="B20" s="5" t="s">
        <v>30</v>
      </c>
      <c r="C20" s="2" t="s">
        <v>31</v>
      </c>
      <c r="D20" s="6" t="str">
        <f aca="false">HYPERLINK("#'11 Review themes'!B2","Open →")</f>
        <v>Open →</v>
      </c>
      <c r="E20" s="7" t="str">
        <f aca="false">IF('11 Review themes'!C19="—","no themes entered yet",'11 Review themes'!C19&amp;" ("&amp;TEXT('11 Review themes'!C20,"0%")&amp;")")</f>
        <v>Wobbles / mount comes loose (43%)</v>
      </c>
    </row>
    <row r="22" customFormat="false" ht="15" hidden="false" customHeight="false" outlineLevel="0" collapsed="false">
      <c r="B22" s="5" t="s">
        <v>32</v>
      </c>
    </row>
    <row r="23" customFormat="false" ht="15" hidden="false" customHeight="false" outlineLevel="0" collapsed="false">
      <c r="B23" s="5" t="s">
        <v>33</v>
      </c>
    </row>
    <row r="25" customFormat="false" ht="64.15" hidden="false" customHeight="false" outlineLevel="0" collapsed="false">
      <c r="B25" s="3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B1:B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0"/>
  </cols>
  <sheetData>
    <row r="1" customFormat="false" ht="15" hidden="false" customHeight="false" outlineLevel="0" collapsed="false">
      <c r="B1" s="6" t="str">
        <f aca="false">HYPERLINK("#Start!B2","← Start")</f>
        <v>← Start</v>
      </c>
    </row>
    <row r="2" customFormat="false" ht="15" hidden="false" customHeight="false" outlineLevel="0" collapsed="false">
      <c r="B2" s="1" t="s">
        <v>35</v>
      </c>
    </row>
    <row r="4" customFormat="false" ht="15" hidden="false" customHeight="false" outlineLevel="0" collapsed="false">
      <c r="B4" s="8" t="s">
        <v>36</v>
      </c>
    </row>
    <row r="5" customFormat="false" ht="23.85" hidden="false" customHeight="false" outlineLevel="0" collapsed="false">
      <c r="B5" s="2" t="s">
        <v>37</v>
      </c>
    </row>
    <row r="7" customFormat="false" ht="35.05" hidden="false" customHeight="false" outlineLevel="0" collapsed="false">
      <c r="B7" s="2" t="s">
        <v>38</v>
      </c>
    </row>
    <row r="9" customFormat="false" ht="15" hidden="false" customHeight="false" outlineLevel="0" collapsed="false">
      <c r="B9" s="8" t="s">
        <v>39</v>
      </c>
    </row>
    <row r="10" customFormat="false" ht="46.25" hidden="false" customHeight="false" outlineLevel="0" collapsed="false">
      <c r="B10" s="2" t="s">
        <v>40</v>
      </c>
    </row>
    <row r="13" customFormat="false" ht="23.85" hidden="false" customHeight="false" outlineLevel="0" collapsed="false">
      <c r="B13" s="2" t="s">
        <v>41</v>
      </c>
    </row>
    <row r="15" customFormat="false" ht="15" hidden="false" customHeight="false" outlineLevel="0" collapsed="false">
      <c r="B15" s="8" t="s">
        <v>42</v>
      </c>
    </row>
    <row r="16" customFormat="false" ht="15" hidden="false" customHeight="false" outlineLevel="0" collapsed="false">
      <c r="B16" s="2" t="s">
        <v>43</v>
      </c>
    </row>
    <row r="17" customFormat="false" ht="15" hidden="false" customHeight="false" outlineLevel="0" collapsed="false">
      <c r="B17" s="2" t="s">
        <v>44</v>
      </c>
    </row>
    <row r="18" customFormat="false" ht="23.85" hidden="false" customHeight="false" outlineLevel="0" collapsed="false">
      <c r="B18" s="2" t="s">
        <v>45</v>
      </c>
    </row>
    <row r="19" customFormat="false" ht="15" hidden="false" customHeight="false" outlineLevel="0" collapsed="false">
      <c r="B19" s="2" t="s">
        <v>46</v>
      </c>
    </row>
    <row r="20" customFormat="false" ht="23.85" hidden="false" customHeight="false" outlineLevel="0" collapsed="false">
      <c r="B20" s="2" t="s">
        <v>47</v>
      </c>
    </row>
    <row r="22" customFormat="false" ht="15" hidden="false" customHeight="false" outlineLevel="0" collapsed="false">
      <c r="B22" s="8" t="s">
        <v>48</v>
      </c>
    </row>
    <row r="23" customFormat="false" ht="35.05" hidden="false" customHeight="false" outlineLevel="0" collapsed="false">
      <c r="B23" s="2" t="s">
        <v>49</v>
      </c>
    </row>
    <row r="25" customFormat="false" ht="15" hidden="false" customHeight="false" outlineLevel="0" collapsed="false">
      <c r="B25" s="8" t="s">
        <v>50</v>
      </c>
    </row>
    <row r="26" customFormat="false" ht="46.25" hidden="false" customHeight="false" outlineLevel="0" collapsed="false">
      <c r="B26" s="2" t="s">
        <v>51</v>
      </c>
    </row>
    <row r="28" customFormat="false" ht="35.05" hidden="false" customHeight="false" outlineLevel="0" collapsed="false">
      <c r="B28" s="2" t="s">
        <v>52</v>
      </c>
    </row>
    <row r="30" customFormat="false" ht="22.35" hidden="false" customHeight="false" outlineLevel="0" collapsed="false">
      <c r="B30" s="3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B1:I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5" min="3" style="0" width="12"/>
    <col collapsed="false" customWidth="true" hidden="false" outlineLevel="0" max="7" min="6" style="0" width="9"/>
    <col collapsed="false" customWidth="true" hidden="false" outlineLevel="0" max="8" min="8" style="0" width="30"/>
    <col collapsed="false" customWidth="true" hidden="false" outlineLevel="0" max="9" min="9" style="0" width="6"/>
  </cols>
  <sheetData>
    <row r="1" customFormat="false" ht="15" hidden="false" customHeight="false" outlineLevel="0" collapsed="false">
      <c r="B1" s="6" t="str">
        <f aca="false">HYPERLINK("#Start!B2","← Start")</f>
        <v>← Start</v>
      </c>
    </row>
    <row r="2" customFormat="false" ht="15" hidden="false" customHeight="false" outlineLevel="0" collapsed="false">
      <c r="B2" s="1" t="s">
        <v>54</v>
      </c>
    </row>
    <row r="3" customFormat="false" ht="43.25" hidden="false" customHeight="false" outlineLevel="0" collapsed="false">
      <c r="B3" s="3" t="s">
        <v>55</v>
      </c>
    </row>
    <row r="4" customFormat="false" ht="64.15" hidden="false" customHeight="false" outlineLevel="0" collapsed="false">
      <c r="B4" s="5" t="s">
        <v>56</v>
      </c>
      <c r="C4" s="9" t="s">
        <v>57</v>
      </c>
      <c r="G4" s="3" t="s">
        <v>58</v>
      </c>
    </row>
    <row r="5" customFormat="false" ht="15" hidden="false" customHeight="false" outlineLevel="0" collapsed="false">
      <c r="B5" s="5" t="s">
        <v>59</v>
      </c>
      <c r="C5" s="9" t="s">
        <v>60</v>
      </c>
    </row>
    <row r="6" customFormat="false" ht="15" hidden="false" customHeight="false" outlineLevel="0" collapsed="false">
      <c r="B6" s="5" t="s">
        <v>61</v>
      </c>
      <c r="C6" s="9" t="s">
        <v>62</v>
      </c>
    </row>
    <row r="7" customFormat="false" ht="15" hidden="false" customHeight="false" outlineLevel="0" collapsed="false">
      <c r="B7" s="5" t="s">
        <v>63</v>
      </c>
      <c r="C7" s="10" t="n">
        <v>46248</v>
      </c>
    </row>
    <row r="9" customFormat="false" ht="15" hidden="false" customHeight="false" outlineLevel="0" collapsed="false">
      <c r="B9" s="4" t="s">
        <v>64</v>
      </c>
      <c r="C9" s="4" t="s">
        <v>65</v>
      </c>
      <c r="D9" s="4" t="s">
        <v>66</v>
      </c>
      <c r="E9" s="4" t="s">
        <v>67</v>
      </c>
      <c r="F9" s="4" t="s">
        <v>68</v>
      </c>
      <c r="G9" s="4" t="s">
        <v>69</v>
      </c>
      <c r="H9" s="4" t="s">
        <v>70</v>
      </c>
      <c r="I9" s="4" t="s">
        <v>71</v>
      </c>
    </row>
    <row r="10" customFormat="false" ht="15" hidden="false" customHeight="false" outlineLevel="0" collapsed="false">
      <c r="B10" s="11" t="s">
        <v>72</v>
      </c>
      <c r="C10" s="12" t="n">
        <v>9800</v>
      </c>
      <c r="D10" s="12" t="n">
        <v>10400</v>
      </c>
      <c r="E10" s="13" t="n">
        <f aca="false">IF(COUNT(C10:D10)=0,"",AVERAGE(C10:D10))</f>
        <v>10100</v>
      </c>
      <c r="F10" s="14" t="n">
        <f aca="false">IF($E10="","",$E10/AVERAGE($E$10:$E$21))</f>
        <v>0.428798867857775</v>
      </c>
      <c r="G10" s="15" t="n">
        <f aca="false">IF(COUNT(C10:D10)&lt;2,"",D10/C10-1)</f>
        <v>0.0612244897959184</v>
      </c>
      <c r="I10" s="16" t="n">
        <f aca="false">IF(OR($F10="",$F$21=""),0,IF(AND($F10&gt;=1,$F$21&lt;1),1,0))</f>
        <v>0</v>
      </c>
    </row>
    <row r="11" customFormat="false" ht="15" hidden="false" customHeight="false" outlineLevel="0" collapsed="false">
      <c r="B11" s="11" t="s">
        <v>73</v>
      </c>
      <c r="C11" s="12" t="n">
        <v>11500</v>
      </c>
      <c r="D11" s="12" t="n">
        <v>12600</v>
      </c>
      <c r="E11" s="13" t="n">
        <f aca="false">IF(COUNT(C11:D11)=0,"",AVERAGE(C11:D11))</f>
        <v>12050</v>
      </c>
      <c r="F11" s="14" t="n">
        <f aca="false">IF($E11="","",$E11/AVERAGE($E$10:$E$21))</f>
        <v>0.511586768087741</v>
      </c>
      <c r="G11" s="15" t="n">
        <f aca="false">IF(COUNT(C11:D11)&lt;2,"",D11/C11-1)</f>
        <v>0.0956521739130434</v>
      </c>
      <c r="I11" s="16" t="n">
        <f aca="false">IF(OR($F11="",$F$10=""),0,IF(AND($F11&gt;=1,$F$10&lt;1),1,0))</f>
        <v>0</v>
      </c>
    </row>
    <row r="12" customFormat="false" ht="15" hidden="false" customHeight="false" outlineLevel="0" collapsed="false">
      <c r="B12" s="11" t="s">
        <v>74</v>
      </c>
      <c r="C12" s="12" t="n">
        <v>21000</v>
      </c>
      <c r="D12" s="12" t="n">
        <v>23500</v>
      </c>
      <c r="E12" s="13" t="n">
        <f aca="false">IF(COUNT(C12:D12)=0,"",AVERAGE(C12:D12))</f>
        <v>22250</v>
      </c>
      <c r="F12" s="14" t="n">
        <f aca="false">IF($E12="","",$E12/AVERAGE($E$10:$E$21))</f>
        <v>0.944631169290642</v>
      </c>
      <c r="G12" s="15" t="n">
        <f aca="false">IF(COUNT(C12:D12)&lt;2,"",D12/C12-1)</f>
        <v>0.119047619047619</v>
      </c>
      <c r="I12" s="16" t="n">
        <f aca="false">IF(OR($F12="",$F$11=""),0,IF(AND($F12&gt;=1,$F$11&lt;1),1,0))</f>
        <v>0</v>
      </c>
    </row>
    <row r="13" customFormat="false" ht="15" hidden="false" customHeight="false" outlineLevel="0" collapsed="false">
      <c r="B13" s="11" t="s">
        <v>75</v>
      </c>
      <c r="C13" s="12" t="n">
        <v>29000</v>
      </c>
      <c r="D13" s="12" t="n">
        <v>31500</v>
      </c>
      <c r="E13" s="13" t="n">
        <f aca="false">IF(COUNT(C13:D13)=0,"",AVERAGE(C13:D13))</f>
        <v>30250</v>
      </c>
      <c r="F13" s="14" t="n">
        <f aca="false">IF($E13="","",$E13/AVERAGE($E$10:$E$21))</f>
        <v>1.28427383690076</v>
      </c>
      <c r="G13" s="15" t="n">
        <f aca="false">IF(COUNT(C13:D13)&lt;2,"",D13/C13-1)</f>
        <v>0.0862068965517242</v>
      </c>
      <c r="I13" s="16" t="n">
        <f aca="false">IF(OR($F13="",$F$12=""),0,IF(AND($F13&gt;=1,$F$12&lt;1),1,0))</f>
        <v>1</v>
      </c>
    </row>
    <row r="14" customFormat="false" ht="15" hidden="false" customHeight="false" outlineLevel="0" collapsed="false">
      <c r="B14" s="11" t="s">
        <v>76</v>
      </c>
      <c r="C14" s="12" t="n">
        <v>34000</v>
      </c>
      <c r="D14" s="12" t="n">
        <v>37000</v>
      </c>
      <c r="E14" s="13" t="n">
        <f aca="false">IF(COUNT(C14:D14)=0,"",AVERAGE(C14:D14))</f>
        <v>35500</v>
      </c>
      <c r="F14" s="14" t="n">
        <f aca="false">IF($E14="","",$E14/AVERAGE($E$10:$E$21))</f>
        <v>1.5071643375199</v>
      </c>
      <c r="G14" s="15" t="n">
        <f aca="false">IF(COUNT(C14:D14)&lt;2,"",D14/C14-1)</f>
        <v>0.088235294117647</v>
      </c>
      <c r="I14" s="16" t="n">
        <f aca="false">IF(OR($F14="",$F$13=""),0,IF(AND($F14&gt;=1,$F$13&lt;1),1,0))</f>
        <v>0</v>
      </c>
    </row>
    <row r="15" customFormat="false" ht="15" hidden="false" customHeight="false" outlineLevel="0" collapsed="false">
      <c r="B15" s="11" t="s">
        <v>77</v>
      </c>
      <c r="C15" s="12" t="n">
        <v>38000</v>
      </c>
      <c r="D15" s="12" t="n">
        <v>41000</v>
      </c>
      <c r="E15" s="13" t="n">
        <f aca="false">IF(COUNT(C15:D15)=0,"",AVERAGE(C15:D15))</f>
        <v>39500</v>
      </c>
      <c r="F15" s="14" t="n">
        <f aca="false">IF($E15="","",$E15/AVERAGE($E$10:$E$21))</f>
        <v>1.67698567132496</v>
      </c>
      <c r="G15" s="15" t="n">
        <f aca="false">IF(COUNT(C15:D15)&lt;2,"",D15/C15-1)</f>
        <v>0.0789473684210527</v>
      </c>
      <c r="I15" s="16" t="n">
        <f aca="false">IF(OR($F15="",$F$14=""),0,IF(AND($F15&gt;=1,$F$14&lt;1),1,0))</f>
        <v>0</v>
      </c>
    </row>
    <row r="16" customFormat="false" ht="15" hidden="false" customHeight="false" outlineLevel="0" collapsed="false">
      <c r="B16" s="11" t="s">
        <v>78</v>
      </c>
      <c r="C16" s="12" t="n">
        <v>41000</v>
      </c>
      <c r="D16" s="12" t="n">
        <v>45000</v>
      </c>
      <c r="E16" s="13" t="n">
        <f aca="false">IF(COUNT(C16:D16)=0,"",AVERAGE(C16:D16))</f>
        <v>43000</v>
      </c>
      <c r="F16" s="14" t="n">
        <f aca="false">IF($E16="","",$E16/AVERAGE($E$10:$E$21))</f>
        <v>1.82557933840439</v>
      </c>
      <c r="G16" s="15" t="n">
        <f aca="false">IF(COUNT(C16:D16)&lt;2,"",D16/C16-1)</f>
        <v>0.0975609756097562</v>
      </c>
      <c r="I16" s="16" t="n">
        <f aca="false">IF(OR($F16="",$F$15=""),0,IF(AND($F16&gt;=1,$F$15&lt;1),1,0))</f>
        <v>0</v>
      </c>
    </row>
    <row r="17" customFormat="false" ht="15" hidden="false" customHeight="false" outlineLevel="0" collapsed="false">
      <c r="B17" s="11" t="s">
        <v>79</v>
      </c>
      <c r="C17" s="12" t="n">
        <v>33000</v>
      </c>
      <c r="D17" s="12" t="n">
        <v>36000</v>
      </c>
      <c r="E17" s="13" t="n">
        <f aca="false">IF(COUNT(C17:D17)=0,"",AVERAGE(C17:D17))</f>
        <v>34500</v>
      </c>
      <c r="F17" s="14" t="n">
        <f aca="false">IF($E17="","",$E17/AVERAGE($E$10:$E$21))</f>
        <v>1.46470900406864</v>
      </c>
      <c r="G17" s="15" t="n">
        <f aca="false">IF(COUNT(C17:D17)&lt;2,"",D17/C17-1)</f>
        <v>0.0909090909090908</v>
      </c>
      <c r="I17" s="16" t="n">
        <f aca="false">IF(OR($F17="",$F$16=""),0,IF(AND($F17&gt;=1,$F$16&lt;1),1,0))</f>
        <v>0</v>
      </c>
    </row>
    <row r="18" customFormat="false" ht="15" hidden="false" customHeight="false" outlineLevel="0" collapsed="false">
      <c r="B18" s="11" t="s">
        <v>80</v>
      </c>
      <c r="C18" s="12" t="n">
        <v>22000</v>
      </c>
      <c r="D18" s="12" t="n">
        <v>24000</v>
      </c>
      <c r="E18" s="13" t="n">
        <f aca="false">IF(COUNT(C18:D18)=0,"",AVERAGE(C18:D18))</f>
        <v>23000</v>
      </c>
      <c r="F18" s="14" t="n">
        <f aca="false">IF($E18="","",$E18/AVERAGE($E$10:$E$21))</f>
        <v>0.976472669379091</v>
      </c>
      <c r="G18" s="15" t="n">
        <f aca="false">IF(COUNT(C18:D18)&lt;2,"",D18/C18-1)</f>
        <v>0.0909090909090908</v>
      </c>
      <c r="I18" s="16" t="n">
        <f aca="false">IF(OR($F18="",$F$17=""),0,IF(AND($F18&gt;=1,$F$17&lt;1),1,0))</f>
        <v>0</v>
      </c>
    </row>
    <row r="19" customFormat="false" ht="15" hidden="false" customHeight="false" outlineLevel="0" collapsed="false">
      <c r="B19" s="11" t="s">
        <v>81</v>
      </c>
      <c r="C19" s="12" t="n">
        <v>14000</v>
      </c>
      <c r="D19" s="12" t="n">
        <v>15200</v>
      </c>
      <c r="E19" s="13" t="n">
        <f aca="false">IF(COUNT(C19:D19)=0,"",AVERAGE(C19:D19))</f>
        <v>14600</v>
      </c>
      <c r="F19" s="14" t="n">
        <f aca="false">IF($E19="","",$E19/AVERAGE($E$10:$E$21))</f>
        <v>0.619847868388466</v>
      </c>
      <c r="G19" s="15" t="n">
        <f aca="false">IF(COUNT(C19:D19)&lt;2,"",D19/C19-1)</f>
        <v>0.0857142857142856</v>
      </c>
      <c r="I19" s="16" t="n">
        <f aca="false">IF(OR($F19="",$F$18=""),0,IF(AND($F19&gt;=1,$F$18&lt;1),1,0))</f>
        <v>0</v>
      </c>
    </row>
    <row r="20" customFormat="false" ht="15" hidden="false" customHeight="false" outlineLevel="0" collapsed="false">
      <c r="B20" s="11" t="s">
        <v>82</v>
      </c>
      <c r="C20" s="12" t="n">
        <v>9200</v>
      </c>
      <c r="D20" s="12" t="n">
        <v>9900</v>
      </c>
      <c r="E20" s="13" t="n">
        <f aca="false">IF(COUNT(C20:D20)=0,"",AVERAGE(C20:D20))</f>
        <v>9550</v>
      </c>
      <c r="F20" s="14" t="n">
        <f aca="false">IF($E20="","",$E20/AVERAGE($E$10:$E$21))</f>
        <v>0.405448434459579</v>
      </c>
      <c r="G20" s="15" t="n">
        <f aca="false">IF(COUNT(C20:D20)&lt;2,"",D20/C20-1)</f>
        <v>0.076086956521739</v>
      </c>
      <c r="I20" s="16" t="n">
        <f aca="false">IF(OR($F20="",$F$19=""),0,IF(AND($F20&gt;=1,$F$19&lt;1),1,0))</f>
        <v>0</v>
      </c>
    </row>
    <row r="21" customFormat="false" ht="15" hidden="false" customHeight="false" outlineLevel="0" collapsed="false">
      <c r="B21" s="11" t="s">
        <v>83</v>
      </c>
      <c r="C21" s="12" t="n">
        <v>8100</v>
      </c>
      <c r="D21" s="12" t="n">
        <v>8600</v>
      </c>
      <c r="E21" s="13" t="n">
        <f aca="false">IF(COUNT(C21:D21)=0,"",AVERAGE(C21:D21))</f>
        <v>8350</v>
      </c>
      <c r="F21" s="14" t="n">
        <f aca="false">IF($E21="","",$E21/AVERAGE($E$10:$E$21))</f>
        <v>0.354502034318061</v>
      </c>
      <c r="G21" s="15" t="n">
        <f aca="false">IF(COUNT(C21:D21)&lt;2,"",D21/C21-1)</f>
        <v>0.0617283950617285</v>
      </c>
      <c r="I21" s="16" t="n">
        <f aca="false">IF(OR($F21="",$F$20=""),0,IF(AND($F21&gt;=1,$F$20&lt;1),1,0))</f>
        <v>0</v>
      </c>
    </row>
    <row r="22" customFormat="false" ht="15" hidden="false" customHeight="false" outlineLevel="0" collapsed="false">
      <c r="B22" s="5" t="s">
        <v>84</v>
      </c>
      <c r="C22" s="17" t="n">
        <f aca="false">SUM(C10:C21)</f>
        <v>270600</v>
      </c>
      <c r="D22" s="17" t="n">
        <f aca="false">SUM(D10:D21)</f>
        <v>294700</v>
      </c>
      <c r="E22" s="17" t="n">
        <f aca="false">SUM(E10:E21)</f>
        <v>282650</v>
      </c>
      <c r="G22" s="18" t="n">
        <f aca="false">IF(OR(C22=0,D22=0),"",D22/C22-1)</f>
        <v>0.0890613451589062</v>
      </c>
    </row>
    <row r="24" customFormat="false" ht="15" hidden="false" customHeight="false" outlineLevel="0" collapsed="false">
      <c r="B24" s="4" t="s">
        <v>85</v>
      </c>
      <c r="C24" s="4"/>
    </row>
    <row r="25" customFormat="false" ht="15" hidden="false" customHeight="false" outlineLevel="0" collapsed="false">
      <c r="B25" s="11" t="s">
        <v>86</v>
      </c>
      <c r="C25" s="11" t="str">
        <f aca="false">IF(COUNT($F$10:$F$21)=0,"",INDEX($B$10:$B$21,MATCH(MAX($F$10:$F$21),$F$10:$F$21,0)))</f>
        <v>Jul</v>
      </c>
    </row>
    <row r="26" customFormat="false" ht="15" hidden="false" customHeight="false" outlineLevel="0" collapsed="false">
      <c r="B26" s="11" t="s">
        <v>87</v>
      </c>
      <c r="C26" s="11" t="str">
        <f aca="false">IF(COUNT($F$10:$F$21)=0,"",INDEX($B$10:$B$21,MATCH(MIN($F$10:$F$21),$F$10:$F$21,0)))</f>
        <v>Dec</v>
      </c>
    </row>
    <row r="27" customFormat="false" ht="15" hidden="false" customHeight="false" outlineLevel="0" collapsed="false">
      <c r="B27" s="11" t="s">
        <v>88</v>
      </c>
      <c r="C27" s="14" t="n">
        <f aca="false">IF(COUNT($F$10:$F$21)=0,"",MAX($F$10:$F$21))</f>
        <v>1.82557933840439</v>
      </c>
    </row>
    <row r="28" customFormat="false" ht="15" hidden="false" customHeight="false" outlineLevel="0" collapsed="false">
      <c r="B28" s="11" t="s">
        <v>89</v>
      </c>
      <c r="C28" s="14" t="n">
        <f aca="false">IF(COUNT($F$10:$F$21)=0,"",MIN($F$10:$F$21))</f>
        <v>0.354502034318061</v>
      </c>
    </row>
    <row r="29" customFormat="false" ht="15" hidden="false" customHeight="false" outlineLevel="0" collapsed="false">
      <c r="B29" s="11" t="s">
        <v>90</v>
      </c>
      <c r="C29" s="19" t="n">
        <f aca="false">IFERROR(MAX($F$10:$F$21)/_xlfn.MINIFS($F$10:$F$21,$F$10:$F$21,"&gt;0"),"")</f>
        <v>5.1497005988024</v>
      </c>
    </row>
    <row r="30" customFormat="false" ht="15" hidden="false" customHeight="false" outlineLevel="0" collapsed="false">
      <c r="B30" s="11" t="s">
        <v>91</v>
      </c>
      <c r="C30" s="15" t="n">
        <f aca="false">IFERROR((LARGE($E$10:$E$21,1)+LARGE($E$10:$E$21,2)+LARGE($E$10:$E$21,3)+LARGE($E$10:$E$21,4))/SUM($E$10:$E$21),"")</f>
        <v>0.53953652927649</v>
      </c>
    </row>
    <row r="31" customFormat="false" ht="15" hidden="false" customHeight="false" outlineLevel="0" collapsed="false">
      <c r="B31" s="11" t="s">
        <v>92</v>
      </c>
      <c r="C31" s="15" t="n">
        <f aca="false">IF(OR(C22=0,D22=0),"",D22/C22-1)</f>
        <v>0.0890613451589062</v>
      </c>
    </row>
    <row r="32" customFormat="false" ht="15" hidden="false" customHeight="false" outlineLevel="0" collapsed="false">
      <c r="B32" s="11" t="s">
        <v>93</v>
      </c>
      <c r="C32" s="20" t="n">
        <f aca="false">COUNT($E$10:$E$21)</f>
        <v>12</v>
      </c>
    </row>
    <row r="33" customFormat="false" ht="15" hidden="false" customHeight="false" outlineLevel="0" collapsed="false">
      <c r="B33" s="5" t="s">
        <v>94</v>
      </c>
      <c r="C33" s="5" t="str">
        <f aca="false">IF(C32&lt;12,"Fill all 12 months before trusting the verdict.",IF(COUNTIF($E$10:$E$21,0)&gt;0,"A zero-demand month: extreme single-season. Avoid as a first product.",IF(C29&lt;1.5,"Flat demand. Order timing is not critical.",IF(C29&lt;2.5,"Moderate seasonality. Time the order, but sales run all year.",IF(C29&lt;4,"Strong seasonality. Stock must land 4 weeks before the ramp; exit the peak with low inventory.","Single-season product. A working-capital trap for a first product.")))))</f>
        <v>Single-season product. A working-capital trap for a first product.</v>
      </c>
    </row>
    <row r="34" customFormat="false" ht="15" hidden="false" customHeight="false" outlineLevel="0" collapsed="false">
      <c r="B34" s="11" t="s">
        <v>95</v>
      </c>
      <c r="C34" s="5" t="str">
        <f aca="false">IFERROR(INDEX($B$10:$B$21,MATCH(1,$I$10:$I$21,0)),"—")</f>
        <v>Apr</v>
      </c>
    </row>
    <row r="36" customFormat="false" ht="32.8" hidden="false" customHeight="false" outlineLevel="0" collapsed="false">
      <c r="B36" s="3" t="s">
        <v>96</v>
      </c>
    </row>
    <row r="37" customFormat="false" ht="32.8" hidden="false" customHeight="false" outlineLevel="0" collapsed="false">
      <c r="B37" s="3" t="s"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B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2"/>
    <col collapsed="false" customWidth="true" hidden="false" outlineLevel="0" max="3" min="3" style="0" width="14"/>
    <col collapsed="false" customWidth="true" hidden="false" outlineLevel="0" max="4" min="4" style="0" width="2"/>
    <col collapsed="false" customWidth="true" hidden="false" outlineLevel="0" max="5" min="5" style="0" width="62"/>
  </cols>
  <sheetData>
    <row r="1" customFormat="false" ht="15" hidden="false" customHeight="false" outlineLevel="0" collapsed="false">
      <c r="B1" s="6" t="str">
        <f aca="false">HYPERLINK("#Start!B2","← Start")</f>
        <v>← Start</v>
      </c>
    </row>
    <row r="2" customFormat="false" ht="15" hidden="false" customHeight="false" outlineLevel="0" collapsed="false">
      <c r="B2" s="1" t="s">
        <v>98</v>
      </c>
    </row>
    <row r="3" customFormat="false" ht="15" hidden="false" customHeight="false" outlineLevel="0" collapsed="false">
      <c r="B3" s="11" t="s">
        <v>99</v>
      </c>
    </row>
    <row r="5" customFormat="false" ht="15" hidden="false" customHeight="false" outlineLevel="0" collapsed="false">
      <c r="B5" s="11" t="s">
        <v>100</v>
      </c>
      <c r="C5" s="7" t="str">
        <f aca="false">'1 Seasonality'!C34</f>
        <v>Apr</v>
      </c>
    </row>
    <row r="6" customFormat="false" ht="15" hidden="false" customHeight="false" outlineLevel="0" collapsed="false">
      <c r="B6" s="11" t="s">
        <v>101</v>
      </c>
      <c r="C6" s="21" t="n">
        <f aca="true">IFERROR(DATE(YEAR(TODAY())+IF(DATE(YEAR(TODAY()),MATCH($C$5,'1 Seasonality'!$B$10:$B$21,0),1)-28&lt;=TODAY(),1,0),MATCH($C$5,'1 Seasonality'!$B$10:$B$21,0),1)-28,"fill Sheet 1 first")</f>
        <v>46450</v>
      </c>
    </row>
    <row r="7" customFormat="false" ht="22.35" hidden="false" customHeight="false" outlineLevel="0" collapsed="false">
      <c r="B7" s="11" t="s">
        <v>102</v>
      </c>
      <c r="C7" s="10" t="n">
        <v>46450</v>
      </c>
      <c r="E7" s="3" t="s">
        <v>103</v>
      </c>
    </row>
    <row r="9" customFormat="false" ht="15" hidden="false" customHeight="false" outlineLevel="0" collapsed="false">
      <c r="B9" s="4" t="s">
        <v>104</v>
      </c>
      <c r="C9" s="4" t="s">
        <v>105</v>
      </c>
    </row>
    <row r="10" customFormat="false" ht="15" hidden="false" customHeight="false" outlineLevel="0" collapsed="false">
      <c r="B10" s="2" t="s">
        <v>106</v>
      </c>
      <c r="C10" s="22" t="n">
        <v>0</v>
      </c>
      <c r="E10" s="3" t="s">
        <v>107</v>
      </c>
    </row>
    <row r="11" customFormat="false" ht="15" hidden="false" customHeight="false" outlineLevel="0" collapsed="false">
      <c r="B11" s="2" t="s">
        <v>108</v>
      </c>
      <c r="C11" s="22" t="n">
        <v>21</v>
      </c>
      <c r="E11" s="3" t="s">
        <v>109</v>
      </c>
    </row>
    <row r="12" customFormat="false" ht="15" hidden="false" customHeight="false" outlineLevel="0" collapsed="false">
      <c r="B12" s="2" t="s">
        <v>110</v>
      </c>
      <c r="C12" s="22" t="n">
        <v>40</v>
      </c>
      <c r="E12" s="3" t="s">
        <v>111</v>
      </c>
    </row>
    <row r="13" customFormat="false" ht="22.35" hidden="false" customHeight="false" outlineLevel="0" collapsed="false">
      <c r="B13" s="2" t="s">
        <v>112</v>
      </c>
      <c r="C13" s="22" t="n">
        <v>0</v>
      </c>
      <c r="E13" s="3" t="s">
        <v>113</v>
      </c>
    </row>
    <row r="14" customFormat="false" ht="15" hidden="false" customHeight="false" outlineLevel="0" collapsed="false">
      <c r="B14" s="2" t="s">
        <v>114</v>
      </c>
      <c r="C14" s="22" t="n">
        <v>40</v>
      </c>
      <c r="E14" s="3" t="s">
        <v>115</v>
      </c>
    </row>
    <row r="15" customFormat="false" ht="22.35" hidden="false" customHeight="false" outlineLevel="0" collapsed="false">
      <c r="B15" s="2" t="s">
        <v>116</v>
      </c>
      <c r="C15" s="22" t="n">
        <v>5</v>
      </c>
      <c r="E15" s="3" t="s">
        <v>117</v>
      </c>
    </row>
    <row r="16" customFormat="false" ht="15" hidden="false" customHeight="false" outlineLevel="0" collapsed="false">
      <c r="B16" s="2" t="s">
        <v>118</v>
      </c>
      <c r="C16" s="22" t="n">
        <v>10</v>
      </c>
      <c r="E16" s="3" t="s">
        <v>119</v>
      </c>
    </row>
    <row r="17" customFormat="false" ht="15" hidden="false" customHeight="false" outlineLevel="0" collapsed="false">
      <c r="B17" s="2" t="s">
        <v>120</v>
      </c>
      <c r="C17" s="22" t="n">
        <v>15</v>
      </c>
      <c r="E17" s="3" t="s">
        <v>121</v>
      </c>
    </row>
    <row r="18" customFormat="false" ht="15" hidden="false" customHeight="false" outlineLevel="0" collapsed="false">
      <c r="B18" s="5" t="s">
        <v>122</v>
      </c>
      <c r="C18" s="23" t="n">
        <f aca="false">SUM(C10:C17)</f>
        <v>131</v>
      </c>
    </row>
    <row r="20" customFormat="false" ht="15" hidden="false" customHeight="false" outlineLevel="0" collapsed="false">
      <c r="B20" s="5" t="s">
        <v>123</v>
      </c>
      <c r="C20" s="24" t="n">
        <f aca="false">C7-C18</f>
        <v>46319</v>
      </c>
    </row>
    <row r="21" customFormat="false" ht="15" hidden="false" customHeight="false" outlineLevel="0" collapsed="false">
      <c r="B21" s="5" t="s">
        <v>124</v>
      </c>
      <c r="C21" s="23" t="n">
        <f aca="true">C7-C18-TODAY()</f>
        <v>67</v>
      </c>
    </row>
    <row r="23" customFormat="false" ht="22.35" hidden="false" customHeight="false" outlineLevel="0" collapsed="false">
      <c r="B23" s="3" t="s">
        <v>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B1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3" min="3" style="0" width="13"/>
    <col collapsed="false" customWidth="true" hidden="false" outlineLevel="0" max="4" min="4" style="0" width="2"/>
    <col collapsed="false" customWidth="true" hidden="false" outlineLevel="0" max="5" min="5" style="0" width="66"/>
  </cols>
  <sheetData>
    <row r="1" customFormat="false" ht="15" hidden="false" customHeight="false" outlineLevel="0" collapsed="false">
      <c r="B1" s="6" t="str">
        <f aca="false">HYPERLINK("#Start!B2","← Start")</f>
        <v>← Start</v>
      </c>
    </row>
    <row r="2" customFormat="false" ht="15" hidden="false" customHeight="false" outlineLevel="0" collapsed="false">
      <c r="B2" s="1" t="s">
        <v>126</v>
      </c>
    </row>
    <row r="3" customFormat="false" ht="35.05" hidden="false" customHeight="false" outlineLevel="0" collapsed="false">
      <c r="B3" s="2" t="s">
        <v>127</v>
      </c>
    </row>
    <row r="5" customFormat="false" ht="15" hidden="false" customHeight="false" outlineLevel="0" collapsed="false">
      <c r="B5" s="4" t="s">
        <v>128</v>
      </c>
      <c r="C5" s="4"/>
    </row>
    <row r="6" customFormat="false" ht="15" hidden="false" customHeight="false" outlineLevel="0" collapsed="false">
      <c r="B6" s="11" t="s">
        <v>129</v>
      </c>
      <c r="C6" s="25" t="n">
        <v>59.99</v>
      </c>
      <c r="E6" s="3" t="s">
        <v>130</v>
      </c>
    </row>
    <row r="7" customFormat="false" ht="15" hidden="false" customHeight="false" outlineLevel="0" collapsed="false">
      <c r="B7" s="11" t="s">
        <v>131</v>
      </c>
      <c r="C7" s="26" t="n">
        <v>0.19</v>
      </c>
      <c r="E7" s="3" t="s">
        <v>132</v>
      </c>
    </row>
    <row r="8" customFormat="false" ht="15" hidden="false" customHeight="false" outlineLevel="0" collapsed="false">
      <c r="B8" s="11" t="s">
        <v>133</v>
      </c>
      <c r="C8" s="26" t="n">
        <v>0.15</v>
      </c>
      <c r="E8" s="3" t="s">
        <v>134</v>
      </c>
    </row>
    <row r="9" customFormat="false" ht="15" hidden="false" customHeight="false" outlineLevel="0" collapsed="false">
      <c r="B9" s="11" t="s">
        <v>135</v>
      </c>
      <c r="C9" s="22" t="n">
        <v>1</v>
      </c>
      <c r="E9" s="3" t="s">
        <v>136</v>
      </c>
    </row>
    <row r="10" customFormat="false" ht="15" hidden="false" customHeight="false" outlineLevel="0" collapsed="false">
      <c r="B10" s="11" t="s">
        <v>137</v>
      </c>
      <c r="C10" s="25" t="n">
        <v>4.55</v>
      </c>
      <c r="E10" s="3" t="s">
        <v>138</v>
      </c>
    </row>
    <row r="11" customFormat="false" ht="15" hidden="false" customHeight="false" outlineLevel="0" collapsed="false">
      <c r="B11" s="11" t="s">
        <v>139</v>
      </c>
      <c r="C11" s="25" t="n">
        <v>0.62</v>
      </c>
      <c r="E11" s="3" t="s">
        <v>140</v>
      </c>
    </row>
    <row r="12" customFormat="false" ht="15" hidden="false" customHeight="false" outlineLevel="0" collapsed="false">
      <c r="B12" s="11" t="s">
        <v>141</v>
      </c>
      <c r="C12" s="26" t="n">
        <v>0.07</v>
      </c>
      <c r="E12" s="3" t="s">
        <v>142</v>
      </c>
    </row>
    <row r="13" customFormat="false" ht="15" hidden="false" customHeight="false" outlineLevel="0" collapsed="false">
      <c r="B13" s="11" t="s">
        <v>143</v>
      </c>
      <c r="C13" s="26" t="n">
        <v>0.7</v>
      </c>
      <c r="E13" s="3" t="s">
        <v>144</v>
      </c>
    </row>
    <row r="14" customFormat="false" ht="15" hidden="false" customHeight="false" outlineLevel="0" collapsed="false">
      <c r="B14" s="11" t="s">
        <v>145</v>
      </c>
      <c r="C14" s="25" t="n">
        <v>10</v>
      </c>
      <c r="E14" s="3" t="s">
        <v>146</v>
      </c>
    </row>
    <row r="15" customFormat="false" ht="15" hidden="false" customHeight="false" outlineLevel="0" collapsed="false">
      <c r="B15" s="11" t="s">
        <v>147</v>
      </c>
      <c r="C15" s="25" t="n">
        <v>2.2</v>
      </c>
      <c r="E15" s="3" t="s">
        <v>148</v>
      </c>
    </row>
    <row r="16" customFormat="false" ht="15" hidden="false" customHeight="false" outlineLevel="0" collapsed="false">
      <c r="B16" s="11" t="s">
        <v>149</v>
      </c>
      <c r="C16" s="26" t="n">
        <v>0.027</v>
      </c>
      <c r="E16" s="3" t="s">
        <v>150</v>
      </c>
    </row>
    <row r="17" customFormat="false" ht="15" hidden="false" customHeight="false" outlineLevel="0" collapsed="false">
      <c r="B17" s="11" t="s">
        <v>151</v>
      </c>
      <c r="C17" s="25" t="n">
        <v>0.4</v>
      </c>
      <c r="E17" s="3" t="s">
        <v>152</v>
      </c>
    </row>
    <row r="18" customFormat="false" ht="15" hidden="false" customHeight="false" outlineLevel="0" collapsed="false">
      <c r="B18" s="11" t="s">
        <v>153</v>
      </c>
      <c r="C18" s="26" t="n">
        <v>0.01</v>
      </c>
      <c r="E18" s="3" t="s">
        <v>154</v>
      </c>
    </row>
    <row r="20" customFormat="false" ht="15" hidden="false" customHeight="false" outlineLevel="0" collapsed="false">
      <c r="B20" s="4" t="s">
        <v>155</v>
      </c>
      <c r="C20" s="4"/>
    </row>
    <row r="21" customFormat="false" ht="15" hidden="false" customHeight="false" outlineLevel="0" collapsed="false">
      <c r="B21" s="11" t="s">
        <v>156</v>
      </c>
      <c r="C21" s="27" t="n">
        <f aca="false">C6/(1+C7)</f>
        <v>50.4117647058824</v>
      </c>
    </row>
    <row r="22" customFormat="false" ht="15" hidden="false" customHeight="false" outlineLevel="0" collapsed="false">
      <c r="B22" s="11" t="s">
        <v>157</v>
      </c>
      <c r="C22" s="27" t="n">
        <f aca="false">-IF(C9=1,C6*C8,C21*C8)</f>
        <v>-8.9985</v>
      </c>
    </row>
    <row r="23" customFormat="false" ht="15" hidden="false" customHeight="false" outlineLevel="0" collapsed="false">
      <c r="B23" s="11" t="s">
        <v>158</v>
      </c>
      <c r="C23" s="27" t="n">
        <f aca="false">-C10</f>
        <v>-4.55</v>
      </c>
    </row>
    <row r="24" customFormat="false" ht="15" hidden="false" customHeight="false" outlineLevel="0" collapsed="false">
      <c r="B24" s="11" t="s">
        <v>159</v>
      </c>
      <c r="C24" s="27" t="n">
        <f aca="false">-C11</f>
        <v>-0.62</v>
      </c>
    </row>
    <row r="25" customFormat="false" ht="15" hidden="false" customHeight="false" outlineLevel="0" collapsed="false">
      <c r="B25" s="11" t="s">
        <v>160</v>
      </c>
      <c r="C25" s="27" t="n">
        <f aca="false">-C12*C13*C21</f>
        <v>-2.47017647058824</v>
      </c>
    </row>
    <row r="26" customFormat="false" ht="15" hidden="false" customHeight="false" outlineLevel="0" collapsed="false">
      <c r="B26" s="5" t="s">
        <v>161</v>
      </c>
      <c r="C26" s="28" t="n">
        <f aca="false">SUM(C21:C25)</f>
        <v>33.7730882352941</v>
      </c>
      <c r="E26" s="3" t="s">
        <v>162</v>
      </c>
    </row>
    <row r="27" customFormat="false" ht="15" hidden="false" customHeight="false" outlineLevel="0" collapsed="false">
      <c r="B27" s="11" t="s">
        <v>163</v>
      </c>
      <c r="C27" s="27" t="n">
        <f aca="false">-(C14+C15+(C14+C15)*C16+C17)</f>
        <v>-12.9294</v>
      </c>
      <c r="E27" s="3" t="s">
        <v>164</v>
      </c>
    </row>
    <row r="28" customFormat="false" ht="15" hidden="false" customHeight="false" outlineLevel="0" collapsed="false">
      <c r="B28" s="11" t="s">
        <v>165</v>
      </c>
      <c r="C28" s="27" t="n">
        <f aca="false">-C18*C21</f>
        <v>-0.504117647058824</v>
      </c>
    </row>
    <row r="29" customFormat="false" ht="15" hidden="false" customHeight="false" outlineLevel="0" collapsed="false">
      <c r="B29" s="5" t="s">
        <v>166</v>
      </c>
      <c r="C29" s="28" t="n">
        <f aca="false">C26+C27+C28</f>
        <v>20.3395705882353</v>
      </c>
    </row>
    <row r="30" customFormat="false" ht="15" hidden="false" customHeight="false" outlineLevel="0" collapsed="false">
      <c r="B30" s="11" t="s">
        <v>167</v>
      </c>
      <c r="C30" s="15" t="n">
        <f aca="false">IFERROR(C29/C21,"")</f>
        <v>0.403468728121354</v>
      </c>
      <c r="E30" s="3" t="s">
        <v>168</v>
      </c>
    </row>
    <row r="31" customFormat="false" ht="15" hidden="false" customHeight="false" outlineLevel="0" collapsed="false">
      <c r="B31" s="11" t="s">
        <v>169</v>
      </c>
      <c r="C31" s="15" t="n">
        <f aca="false">IFERROR(C29/C6,"")</f>
        <v>0.339049351362482</v>
      </c>
      <c r="E31" s="3" t="s">
        <v>170</v>
      </c>
    </row>
    <row r="32" customFormat="false" ht="15" hidden="false" customHeight="false" outlineLevel="0" collapsed="false">
      <c r="B32" s="11" t="s">
        <v>171</v>
      </c>
      <c r="C32" s="27" t="n">
        <f aca="false">C26+C28-0.35*C21</f>
        <v>15.6248529411765</v>
      </c>
    </row>
    <row r="33" customFormat="false" ht="15" hidden="false" customHeight="false" outlineLevel="0" collapsed="false">
      <c r="B33" s="11" t="s">
        <v>172</v>
      </c>
      <c r="C33" s="27" t="n">
        <f aca="false">(C32-C17-C15*(1+C16))/(1+C16)</f>
        <v>12.6245890371728</v>
      </c>
      <c r="E33" s="3" t="s">
        <v>173</v>
      </c>
    </row>
    <row r="35" customFormat="false" ht="32.8" hidden="false" customHeight="false" outlineLevel="0" collapsed="false">
      <c r="B35" s="3" t="s">
        <v>174</v>
      </c>
    </row>
    <row r="36" customFormat="false" ht="32.8" hidden="false" customHeight="false" outlineLevel="0" collapsed="false">
      <c r="B36" s="3" t="s">
        <v>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B1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2"/>
    <col collapsed="false" customWidth="true" hidden="false" outlineLevel="0" max="3" min="3" style="0" width="10"/>
    <col collapsed="false" customWidth="true" hidden="false" outlineLevel="0" max="4" min="4" style="0" width="2"/>
    <col collapsed="false" customWidth="true" hidden="false" outlineLevel="0" max="5" min="5" style="0" width="62"/>
  </cols>
  <sheetData>
    <row r="1" customFormat="false" ht="15" hidden="false" customHeight="false" outlineLevel="0" collapsed="false">
      <c r="B1" s="6" t="str">
        <f aca="false">HYPERLINK("#Start!B2","← Start")</f>
        <v>← Start</v>
      </c>
    </row>
    <row r="2" customFormat="false" ht="15" hidden="false" customHeight="false" outlineLevel="0" collapsed="false">
      <c r="B2" s="1" t="s">
        <v>176</v>
      </c>
    </row>
    <row r="4" customFormat="false" ht="15" hidden="false" customHeight="false" outlineLevel="0" collapsed="false">
      <c r="B4" s="4" t="s">
        <v>177</v>
      </c>
      <c r="C4" s="4" t="s">
        <v>178</v>
      </c>
    </row>
    <row r="5" customFormat="false" ht="15" hidden="false" customHeight="false" outlineLevel="0" collapsed="false">
      <c r="B5" s="2" t="s">
        <v>179</v>
      </c>
      <c r="C5" s="9" t="s">
        <v>180</v>
      </c>
      <c r="E5" s="3" t="s">
        <v>181</v>
      </c>
    </row>
    <row r="6" customFormat="false" ht="15" hidden="false" customHeight="false" outlineLevel="0" collapsed="false">
      <c r="B6" s="2" t="s">
        <v>182</v>
      </c>
      <c r="C6" s="9" t="s">
        <v>180</v>
      </c>
      <c r="E6" s="3" t="s">
        <v>183</v>
      </c>
    </row>
    <row r="7" customFormat="false" ht="15" hidden="false" customHeight="false" outlineLevel="0" collapsed="false">
      <c r="B7" s="2" t="s">
        <v>184</v>
      </c>
      <c r="C7" s="9" t="s">
        <v>180</v>
      </c>
      <c r="E7" s="3" t="s">
        <v>185</v>
      </c>
    </row>
    <row r="8" customFormat="false" ht="15" hidden="false" customHeight="false" outlineLevel="0" collapsed="false">
      <c r="B8" s="2" t="s">
        <v>186</v>
      </c>
      <c r="C8" s="9" t="s">
        <v>180</v>
      </c>
      <c r="E8" s="3" t="s">
        <v>187</v>
      </c>
    </row>
    <row r="9" customFormat="false" ht="15" hidden="false" customHeight="false" outlineLevel="0" collapsed="false">
      <c r="B9" s="2" t="s">
        <v>188</v>
      </c>
      <c r="C9" s="9" t="s">
        <v>180</v>
      </c>
      <c r="E9" s="3" t="s">
        <v>189</v>
      </c>
    </row>
    <row r="10" customFormat="false" ht="15" hidden="false" customHeight="false" outlineLevel="0" collapsed="false">
      <c r="B10" s="2" t="s">
        <v>190</v>
      </c>
      <c r="C10" s="9" t="s">
        <v>180</v>
      </c>
      <c r="E10" s="3" t="s">
        <v>191</v>
      </c>
    </row>
    <row r="11" customFormat="false" ht="22.35" hidden="false" customHeight="false" outlineLevel="0" collapsed="false">
      <c r="B11" s="2" t="s">
        <v>192</v>
      </c>
      <c r="C11" s="9" t="s">
        <v>180</v>
      </c>
      <c r="E11" s="3" t="s">
        <v>193</v>
      </c>
    </row>
    <row r="12" customFormat="false" ht="15" hidden="false" customHeight="false" outlineLevel="0" collapsed="false">
      <c r="B12" s="2" t="s">
        <v>194</v>
      </c>
      <c r="C12" s="9" t="s">
        <v>180</v>
      </c>
      <c r="E12" s="3" t="s">
        <v>195</v>
      </c>
    </row>
    <row r="13" customFormat="false" ht="15" hidden="false" customHeight="false" outlineLevel="0" collapsed="false">
      <c r="B13" s="2" t="s">
        <v>196</v>
      </c>
      <c r="C13" s="9" t="s">
        <v>180</v>
      </c>
      <c r="E13" s="3" t="s">
        <v>197</v>
      </c>
    </row>
    <row r="15" customFormat="false" ht="15" hidden="false" customHeight="false" outlineLevel="0" collapsed="false">
      <c r="B15" s="4" t="s">
        <v>198</v>
      </c>
      <c r="C15" s="4" t="s">
        <v>178</v>
      </c>
    </row>
    <row r="16" customFormat="false" ht="15" hidden="false" customHeight="false" outlineLevel="0" collapsed="false">
      <c r="B16" s="2" t="s">
        <v>199</v>
      </c>
      <c r="C16" s="9" t="s">
        <v>180</v>
      </c>
      <c r="E16" s="3" t="s">
        <v>200</v>
      </c>
    </row>
    <row r="17" customFormat="false" ht="15" hidden="false" customHeight="false" outlineLevel="0" collapsed="false">
      <c r="B17" s="2" t="s">
        <v>201</v>
      </c>
      <c r="C17" s="9" t="s">
        <v>180</v>
      </c>
      <c r="E17" s="3" t="s">
        <v>202</v>
      </c>
    </row>
    <row r="18" customFormat="false" ht="15" hidden="false" customHeight="false" outlineLevel="0" collapsed="false">
      <c r="B18" s="2" t="s">
        <v>203</v>
      </c>
      <c r="C18" s="9" t="s">
        <v>180</v>
      </c>
      <c r="E18" s="3" t="s">
        <v>204</v>
      </c>
    </row>
    <row r="19" customFormat="false" ht="15" hidden="false" customHeight="false" outlineLevel="0" collapsed="false">
      <c r="B19" s="2" t="s">
        <v>205</v>
      </c>
      <c r="C19" s="9" t="s">
        <v>180</v>
      </c>
      <c r="E19" s="3" t="s">
        <v>206</v>
      </c>
    </row>
    <row r="20" customFormat="false" ht="15" hidden="false" customHeight="false" outlineLevel="0" collapsed="false">
      <c r="B20" s="2" t="s">
        <v>207</v>
      </c>
      <c r="C20" s="9" t="s">
        <v>180</v>
      </c>
    </row>
    <row r="21" customFormat="false" ht="15" hidden="false" customHeight="false" outlineLevel="0" collapsed="false">
      <c r="B21" s="2" t="s">
        <v>208</v>
      </c>
      <c r="C21" s="9" t="s">
        <v>180</v>
      </c>
    </row>
    <row r="22" customFormat="false" ht="15" hidden="false" customHeight="false" outlineLevel="0" collapsed="false">
      <c r="B22" s="2" t="s">
        <v>209</v>
      </c>
      <c r="C22" s="9" t="s">
        <v>180</v>
      </c>
      <c r="E22" s="3" t="s">
        <v>210</v>
      </c>
    </row>
    <row r="23" customFormat="false" ht="15" hidden="false" customHeight="false" outlineLevel="0" collapsed="false">
      <c r="B23" s="2" t="s">
        <v>211</v>
      </c>
      <c r="C23" s="9" t="s">
        <v>180</v>
      </c>
      <c r="E23" s="3" t="s">
        <v>212</v>
      </c>
    </row>
    <row r="25" customFormat="false" ht="15" hidden="false" customHeight="false" outlineLevel="0" collapsed="false">
      <c r="B25" s="4" t="s">
        <v>213</v>
      </c>
      <c r="C25" s="4" t="s">
        <v>178</v>
      </c>
    </row>
    <row r="26" customFormat="false" ht="15" hidden="false" customHeight="false" outlineLevel="0" collapsed="false">
      <c r="B26" s="2" t="s">
        <v>214</v>
      </c>
      <c r="C26" s="9" t="s">
        <v>180</v>
      </c>
      <c r="E26" s="3" t="s">
        <v>215</v>
      </c>
    </row>
    <row r="27" customFormat="false" ht="15" hidden="false" customHeight="false" outlineLevel="0" collapsed="false">
      <c r="B27" s="2" t="s">
        <v>216</v>
      </c>
      <c r="C27" s="9" t="s">
        <v>180</v>
      </c>
    </row>
    <row r="28" customFormat="false" ht="15" hidden="false" customHeight="false" outlineLevel="0" collapsed="false">
      <c r="B28" s="2" t="s">
        <v>217</v>
      </c>
      <c r="C28" s="9" t="s">
        <v>180</v>
      </c>
      <c r="E28" s="3" t="s">
        <v>218</v>
      </c>
    </row>
    <row r="29" customFormat="false" ht="15" hidden="false" customHeight="false" outlineLevel="0" collapsed="false">
      <c r="B29" s="2" t="s">
        <v>219</v>
      </c>
      <c r="C29" s="9" t="s">
        <v>180</v>
      </c>
      <c r="E29" s="3" t="s">
        <v>220</v>
      </c>
    </row>
    <row r="30" customFormat="false" ht="15" hidden="false" customHeight="false" outlineLevel="0" collapsed="false">
      <c r="B30" s="2" t="s">
        <v>221</v>
      </c>
      <c r="C30" s="9" t="s">
        <v>180</v>
      </c>
      <c r="E30" s="3" t="s">
        <v>222</v>
      </c>
    </row>
    <row r="32" customFormat="false" ht="15" hidden="false" customHeight="false" outlineLevel="0" collapsed="false">
      <c r="B32" s="5" t="s">
        <v>223</v>
      </c>
      <c r="C32" s="5" t="str">
        <f aca="false">IF(COUNTIF(C5:C13,"YES")=9,"CLEAN","REJECT")</f>
        <v>CLEAN</v>
      </c>
    </row>
    <row r="33" customFormat="false" ht="15" hidden="false" customHeight="false" outlineLevel="0" collapsed="false">
      <c r="B33" s="5" t="s">
        <v>224</v>
      </c>
      <c r="C33" s="5" t="str">
        <f aca="false">COUNTIF(C16:C23,"YES")&amp;" / 8"</f>
        <v>8 / 8</v>
      </c>
    </row>
    <row r="34" customFormat="false" ht="15" hidden="false" customHeight="false" outlineLevel="0" collapsed="false">
      <c r="B34" s="5" t="s">
        <v>225</v>
      </c>
      <c r="C34" s="5" t="str">
        <f aca="false">COUNTIF(C26:C30,"YES")&amp;" / 5"</f>
        <v>5 / 5</v>
      </c>
    </row>
    <row r="36" customFormat="false" ht="15" hidden="false" customHeight="false" outlineLevel="0" collapsed="false">
      <c r="B36" s="3" t="s">
        <v>226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B1:K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8"/>
    <col collapsed="false" customWidth="true" hidden="false" outlineLevel="0" max="11" min="3" style="0" width="14"/>
  </cols>
  <sheetData>
    <row r="1" customFormat="false" ht="15" hidden="false" customHeight="false" outlineLevel="0" collapsed="false">
      <c r="B1" s="6" t="str">
        <f aca="false">HYPERLINK("#Start!B2","← Start")</f>
        <v>← Start</v>
      </c>
    </row>
    <row r="2" customFormat="false" ht="15" hidden="false" customHeight="false" outlineLevel="0" collapsed="false">
      <c r="B2" s="1" t="s">
        <v>227</v>
      </c>
    </row>
    <row r="3" customFormat="false" ht="35.05" hidden="false" customHeight="false" outlineLevel="0" collapsed="false">
      <c r="B3" s="2" t="s">
        <v>228</v>
      </c>
    </row>
    <row r="4" customFormat="false" ht="15" hidden="false" customHeight="false" outlineLevel="0" collapsed="false">
      <c r="B4" s="11" t="s">
        <v>229</v>
      </c>
      <c r="C4" s="25" t="n">
        <v>6500</v>
      </c>
    </row>
    <row r="5" customFormat="false" ht="15" hidden="false" customHeight="false" outlineLevel="0" collapsed="false">
      <c r="B5" s="4" t="s">
        <v>128</v>
      </c>
      <c r="C5" s="4" t="s">
        <v>230</v>
      </c>
      <c r="D5" s="4" t="s">
        <v>231</v>
      </c>
      <c r="E5" s="4" t="s">
        <v>232</v>
      </c>
      <c r="F5" s="4" t="s">
        <v>233</v>
      </c>
      <c r="G5" s="4" t="s">
        <v>234</v>
      </c>
      <c r="H5" s="4" t="s">
        <v>235</v>
      </c>
      <c r="I5" s="4" t="s">
        <v>236</v>
      </c>
      <c r="J5" s="4" t="s">
        <v>237</v>
      </c>
      <c r="K5" s="4" t="s">
        <v>238</v>
      </c>
    </row>
    <row r="6" customFormat="false" ht="15" hidden="false" customHeight="false" outlineLevel="0" collapsed="false">
      <c r="B6" s="2" t="s">
        <v>239</v>
      </c>
      <c r="C6" s="3" t="s">
        <v>240</v>
      </c>
      <c r="D6" s="9" t="s">
        <v>57</v>
      </c>
      <c r="E6" s="9"/>
      <c r="F6" s="9"/>
      <c r="G6" s="9"/>
      <c r="H6" s="9"/>
      <c r="I6" s="9"/>
      <c r="J6" s="9"/>
      <c r="K6" s="9"/>
    </row>
    <row r="7" customFormat="false" ht="15" hidden="false" customHeight="false" outlineLevel="0" collapsed="false">
      <c r="B7" s="2" t="s">
        <v>241</v>
      </c>
      <c r="C7" s="3" t="s">
        <v>242</v>
      </c>
      <c r="D7" s="12" t="n">
        <v>23500</v>
      </c>
      <c r="E7" s="12"/>
      <c r="F7" s="12"/>
      <c r="G7" s="12"/>
      <c r="H7" s="12"/>
      <c r="I7" s="12"/>
      <c r="J7" s="12"/>
      <c r="K7" s="12"/>
    </row>
    <row r="8" customFormat="false" ht="15" hidden="false" customHeight="false" outlineLevel="0" collapsed="false">
      <c r="B8" s="2" t="s">
        <v>243</v>
      </c>
      <c r="C8" s="3" t="s">
        <v>244</v>
      </c>
      <c r="D8" s="12" t="n">
        <v>95000</v>
      </c>
      <c r="E8" s="12"/>
      <c r="F8" s="12"/>
      <c r="G8" s="12"/>
      <c r="H8" s="12"/>
      <c r="I8" s="12"/>
      <c r="J8" s="12"/>
      <c r="K8" s="12"/>
    </row>
    <row r="9" customFormat="false" ht="15" hidden="false" customHeight="false" outlineLevel="0" collapsed="false">
      <c r="B9" s="2" t="s">
        <v>245</v>
      </c>
      <c r="C9" s="3" t="s">
        <v>244</v>
      </c>
      <c r="D9" s="26" t="n">
        <v>0.28</v>
      </c>
      <c r="E9" s="26"/>
      <c r="F9" s="26"/>
      <c r="G9" s="26"/>
      <c r="H9" s="26"/>
      <c r="I9" s="26"/>
      <c r="J9" s="26"/>
      <c r="K9" s="26"/>
    </row>
    <row r="10" customFormat="false" ht="15" hidden="false" customHeight="false" outlineLevel="0" collapsed="false">
      <c r="B10" s="2" t="s">
        <v>246</v>
      </c>
      <c r="C10" s="3" t="s">
        <v>247</v>
      </c>
      <c r="D10" s="22" t="n">
        <v>5</v>
      </c>
      <c r="E10" s="22"/>
      <c r="F10" s="22"/>
      <c r="G10" s="22"/>
      <c r="H10" s="22"/>
      <c r="I10" s="22"/>
      <c r="J10" s="22"/>
      <c r="K10" s="22"/>
    </row>
    <row r="11" customFormat="false" ht="15" hidden="false" customHeight="false" outlineLevel="0" collapsed="false">
      <c r="B11" s="2" t="s">
        <v>248</v>
      </c>
      <c r="C11" s="3" t="s">
        <v>244</v>
      </c>
      <c r="D11" s="22" t="n">
        <v>2</v>
      </c>
      <c r="E11" s="22"/>
      <c r="F11" s="22"/>
      <c r="G11" s="22"/>
      <c r="H11" s="22"/>
      <c r="I11" s="22"/>
      <c r="J11" s="22"/>
      <c r="K11" s="22"/>
    </row>
    <row r="12" customFormat="false" ht="15" hidden="false" customHeight="false" outlineLevel="0" collapsed="false">
      <c r="B12" s="2" t="s">
        <v>249</v>
      </c>
      <c r="C12" s="3" t="s">
        <v>244</v>
      </c>
      <c r="D12" s="22" t="n">
        <v>1</v>
      </c>
      <c r="E12" s="22"/>
      <c r="F12" s="22"/>
      <c r="G12" s="22"/>
      <c r="H12" s="22"/>
      <c r="I12" s="22"/>
      <c r="J12" s="22"/>
      <c r="K12" s="22"/>
    </row>
    <row r="13" customFormat="false" ht="15" hidden="false" customHeight="false" outlineLevel="0" collapsed="false">
      <c r="B13" s="2" t="s">
        <v>250</v>
      </c>
      <c r="C13" s="3" t="s">
        <v>244</v>
      </c>
      <c r="D13" s="26" t="n">
        <v>0.55</v>
      </c>
      <c r="E13" s="26"/>
      <c r="F13" s="26"/>
      <c r="G13" s="26"/>
      <c r="H13" s="26"/>
      <c r="I13" s="26"/>
      <c r="J13" s="26"/>
      <c r="K13" s="26"/>
    </row>
    <row r="14" customFormat="false" ht="15" hidden="false" customHeight="false" outlineLevel="0" collapsed="false">
      <c r="B14" s="2" t="s">
        <v>251</v>
      </c>
      <c r="C14" s="3" t="s">
        <v>252</v>
      </c>
      <c r="D14" s="29" t="n">
        <v>5.15</v>
      </c>
      <c r="E14" s="29"/>
      <c r="F14" s="29"/>
      <c r="G14" s="29"/>
      <c r="H14" s="29"/>
      <c r="I14" s="29"/>
      <c r="J14" s="29"/>
      <c r="K14" s="29"/>
    </row>
    <row r="15" customFormat="false" ht="15" hidden="false" customHeight="false" outlineLevel="0" collapsed="false">
      <c r="B15" s="2" t="s">
        <v>253</v>
      </c>
      <c r="C15" s="3" t="s">
        <v>252</v>
      </c>
      <c r="D15" s="26" t="n">
        <v>0.54</v>
      </c>
      <c r="E15" s="26"/>
      <c r="F15" s="26"/>
      <c r="G15" s="26"/>
      <c r="H15" s="26"/>
      <c r="I15" s="26"/>
      <c r="J15" s="26"/>
      <c r="K15" s="26"/>
    </row>
    <row r="16" customFormat="false" ht="15" hidden="false" customHeight="false" outlineLevel="0" collapsed="false">
      <c r="B16" s="2" t="s">
        <v>254</v>
      </c>
      <c r="C16" s="3" t="s">
        <v>255</v>
      </c>
      <c r="D16" s="26" t="n">
        <v>0.4</v>
      </c>
      <c r="E16" s="26"/>
      <c r="F16" s="26"/>
      <c r="G16" s="26"/>
      <c r="H16" s="26"/>
      <c r="I16" s="26"/>
      <c r="J16" s="26"/>
      <c r="K16" s="26"/>
    </row>
    <row r="17" customFormat="false" ht="15" hidden="false" customHeight="false" outlineLevel="0" collapsed="false">
      <c r="B17" s="2" t="s">
        <v>256</v>
      </c>
      <c r="C17" s="3" t="s">
        <v>257</v>
      </c>
      <c r="D17" s="12" t="n">
        <v>9000</v>
      </c>
      <c r="E17" s="12"/>
      <c r="F17" s="12"/>
      <c r="G17" s="12"/>
      <c r="H17" s="12"/>
      <c r="I17" s="12"/>
      <c r="J17" s="12"/>
      <c r="K17" s="12"/>
    </row>
    <row r="18" customFormat="false" ht="15" hidden="false" customHeight="false" outlineLevel="0" collapsed="false">
      <c r="B18" s="2" t="s">
        <v>258</v>
      </c>
      <c r="C18" s="3" t="s">
        <v>259</v>
      </c>
      <c r="D18" s="9" t="s">
        <v>260</v>
      </c>
      <c r="E18" s="9"/>
      <c r="F18" s="9"/>
      <c r="G18" s="9"/>
      <c r="H18" s="9"/>
      <c r="I18" s="9"/>
      <c r="J18" s="9"/>
      <c r="K18" s="9"/>
    </row>
    <row r="20" customFormat="false" ht="15" hidden="false" customHeight="false" outlineLevel="0" collapsed="false">
      <c r="B20" s="4" t="s">
        <v>261</v>
      </c>
      <c r="C20" s="4" t="s">
        <v>262</v>
      </c>
      <c r="D20" s="4"/>
      <c r="E20" s="4"/>
      <c r="F20" s="4"/>
      <c r="G20" s="4"/>
      <c r="H20" s="4"/>
      <c r="I20" s="4"/>
      <c r="J20" s="4"/>
      <c r="K20" s="4"/>
    </row>
    <row r="21" customFormat="false" ht="15" hidden="false" customHeight="false" outlineLevel="0" collapsed="false">
      <c r="B21" s="11" t="s">
        <v>263</v>
      </c>
      <c r="C21" s="30" t="n">
        <v>0.15</v>
      </c>
      <c r="D21" s="20" t="n">
        <f aca="false">IF(D8="","",IF(D8&gt;=40000,2,IF(D8&gt;=20000,1,0)))</f>
        <v>2</v>
      </c>
      <c r="E21" s="20" t="str">
        <f aca="false">IF(E8="","",IF(E8&gt;=40000,2,IF(E8&gt;=20000,1,0)))</f>
        <v/>
      </c>
      <c r="F21" s="20" t="str">
        <f aca="false">IF(F8="","",IF(F8&gt;=40000,2,IF(F8&gt;=20000,1,0)))</f>
        <v/>
      </c>
      <c r="G21" s="20" t="str">
        <f aca="false">IF(G8="","",IF(G8&gt;=40000,2,IF(G8&gt;=20000,1,0)))</f>
        <v/>
      </c>
      <c r="H21" s="20" t="str">
        <f aca="false">IF(H8="","",IF(H8&gt;=40000,2,IF(H8&gt;=20000,1,0)))</f>
        <v/>
      </c>
      <c r="I21" s="20" t="str">
        <f aca="false">IF(I8="","",IF(I8&gt;=40000,2,IF(I8&gt;=20000,1,0)))</f>
        <v/>
      </c>
      <c r="J21" s="20" t="str">
        <f aca="false">IF(J8="","",IF(J8&gt;=40000,2,IF(J8&gt;=20000,1,0)))</f>
        <v/>
      </c>
      <c r="K21" s="20" t="str">
        <f aca="false">IF(K8="","",IF(K8&gt;=40000,2,IF(K8&gt;=20000,1,0)))</f>
        <v/>
      </c>
    </row>
    <row r="22" customFormat="false" ht="15" hidden="false" customHeight="false" outlineLevel="0" collapsed="false">
      <c r="B22" s="11" t="s">
        <v>264</v>
      </c>
      <c r="C22" s="30" t="n">
        <v>0.1</v>
      </c>
      <c r="D22" s="20" t="n">
        <f aca="false">IF(D9="","",IF(D9&lt;0.3,2,IF(D9&lt;=0.4,1,0)))</f>
        <v>2</v>
      </c>
      <c r="E22" s="20" t="str">
        <f aca="false">IF(E9="","",IF(E9&lt;0.3,2,IF(E9&lt;=0.4,1,0)))</f>
        <v/>
      </c>
      <c r="F22" s="20" t="str">
        <f aca="false">IF(F9="","",IF(F9&lt;0.3,2,IF(F9&lt;=0.4,1,0)))</f>
        <v/>
      </c>
      <c r="G22" s="20" t="str">
        <f aca="false">IF(G9="","",IF(G9&lt;0.3,2,IF(G9&lt;=0.4,1,0)))</f>
        <v/>
      </c>
      <c r="H22" s="20" t="str">
        <f aca="false">IF(H9="","",IF(H9&lt;0.3,2,IF(H9&lt;=0.4,1,0)))</f>
        <v/>
      </c>
      <c r="I22" s="20" t="str">
        <f aca="false">IF(I9="","",IF(I9&lt;0.3,2,IF(I9&lt;=0.4,1,0)))</f>
        <v/>
      </c>
      <c r="J22" s="20" t="str">
        <f aca="false">IF(J9="","",IF(J9&lt;0.3,2,IF(J9&lt;=0.4,1,0)))</f>
        <v/>
      </c>
      <c r="K22" s="20" t="str">
        <f aca="false">IF(K9="","",IF(K9&lt;0.3,2,IF(K9&lt;=0.4,1,0)))</f>
        <v/>
      </c>
    </row>
    <row r="23" customFormat="false" ht="15" hidden="false" customHeight="false" outlineLevel="0" collapsed="false">
      <c r="B23" s="11" t="s">
        <v>265</v>
      </c>
      <c r="C23" s="30" t="n">
        <v>0.1</v>
      </c>
      <c r="D23" s="20" t="n">
        <f aca="false">IF(D10="","",IF(D10&lt;=2,2,IF(D10&lt;=4,1,0)))</f>
        <v>0</v>
      </c>
      <c r="E23" s="20" t="str">
        <f aca="false">IF(E10="","",IF(E10&lt;=2,2,IF(E10&lt;=4,1,0)))</f>
        <v/>
      </c>
      <c r="F23" s="20" t="str">
        <f aca="false">IF(F10="","",IF(F10&lt;=2,2,IF(F10&lt;=4,1,0)))</f>
        <v/>
      </c>
      <c r="G23" s="20" t="str">
        <f aca="false">IF(G10="","",IF(G10&lt;=2,2,IF(G10&lt;=4,1,0)))</f>
        <v/>
      </c>
      <c r="H23" s="20" t="str">
        <f aca="false">IF(H10="","",IF(H10&lt;=2,2,IF(H10&lt;=4,1,0)))</f>
        <v/>
      </c>
      <c r="I23" s="20" t="str">
        <f aca="false">IF(I10="","",IF(I10&lt;=2,2,IF(I10&lt;=4,1,0)))</f>
        <v/>
      </c>
      <c r="J23" s="20" t="str">
        <f aca="false">IF(J10="","",IF(J10&lt;=2,2,IF(J10&lt;=4,1,0)))</f>
        <v/>
      </c>
      <c r="K23" s="20" t="str">
        <f aca="false">IF(K10="","",IF(K10&lt;=2,2,IF(K10&lt;=4,1,0)))</f>
        <v/>
      </c>
    </row>
    <row r="24" customFormat="false" ht="15" hidden="false" customHeight="false" outlineLevel="0" collapsed="false">
      <c r="B24" s="11" t="s">
        <v>266</v>
      </c>
      <c r="C24" s="30" t="n">
        <v>0.1</v>
      </c>
      <c r="D24" s="20" t="n">
        <f aca="false">IF(D11="","",IF(D11&gt;=2,2,IF(D11&gt;=1,1,0)))</f>
        <v>2</v>
      </c>
      <c r="E24" s="20" t="str">
        <f aca="false">IF(E11="","",IF(E11&gt;=2,2,IF(E11&gt;=1,1,0)))</f>
        <v/>
      </c>
      <c r="F24" s="20" t="str">
        <f aca="false">IF(F11="","",IF(F11&gt;=2,2,IF(F11&gt;=1,1,0)))</f>
        <v/>
      </c>
      <c r="G24" s="20" t="str">
        <f aca="false">IF(G11="","",IF(G11&gt;=2,2,IF(G11&gt;=1,1,0)))</f>
        <v/>
      </c>
      <c r="H24" s="20" t="str">
        <f aca="false">IF(H11="","",IF(H11&gt;=2,2,IF(H11&gt;=1,1,0)))</f>
        <v/>
      </c>
      <c r="I24" s="20" t="str">
        <f aca="false">IF(I11="","",IF(I11&gt;=2,2,IF(I11&gt;=1,1,0)))</f>
        <v/>
      </c>
      <c r="J24" s="20" t="str">
        <f aca="false">IF(J11="","",IF(J11&gt;=2,2,IF(J11&gt;=1,1,0)))</f>
        <v/>
      </c>
      <c r="K24" s="20" t="str">
        <f aca="false">IF(K11="","",IF(K11&gt;=2,2,IF(K11&gt;=1,1,0)))</f>
        <v/>
      </c>
    </row>
    <row r="25" customFormat="false" ht="15" hidden="false" customHeight="false" outlineLevel="0" collapsed="false">
      <c r="B25" s="11" t="s">
        <v>267</v>
      </c>
      <c r="C25" s="30" t="n">
        <v>0.1</v>
      </c>
      <c r="D25" s="20" t="n">
        <f aca="false">IF(D12="","",IF(D12=1,2,0))</f>
        <v>2</v>
      </c>
      <c r="E25" s="20" t="str">
        <f aca="false">IF(E12="","",IF(E12=1,2,0))</f>
        <v/>
      </c>
      <c r="F25" s="20" t="str">
        <f aca="false">IF(F12="","",IF(F12=1,2,0))</f>
        <v/>
      </c>
      <c r="G25" s="20" t="str">
        <f aca="false">IF(G12="","",IF(G12=1,2,0))</f>
        <v/>
      </c>
      <c r="H25" s="20" t="str">
        <f aca="false">IF(H12="","",IF(H12=1,2,0))</f>
        <v/>
      </c>
      <c r="I25" s="20" t="str">
        <f aca="false">IF(I12="","",IF(I12=1,2,0))</f>
        <v/>
      </c>
      <c r="J25" s="20" t="str">
        <f aca="false">IF(J12="","",IF(J12=1,2,0))</f>
        <v/>
      </c>
      <c r="K25" s="20" t="str">
        <f aca="false">IF(K12="","",IF(K12=1,2,0))</f>
        <v/>
      </c>
    </row>
    <row r="26" customFormat="false" ht="15" hidden="false" customHeight="false" outlineLevel="0" collapsed="false">
      <c r="B26" s="11" t="s">
        <v>268</v>
      </c>
      <c r="C26" s="30" t="n">
        <v>0.05</v>
      </c>
      <c r="D26" s="20" t="n">
        <f aca="false">IF(D13="","",IF(D13&lt;0.4,2,IF(D13&lt;0.6,1,0)))</f>
        <v>1</v>
      </c>
      <c r="E26" s="20" t="str">
        <f aca="false">IF(E13="","",IF(E13&lt;0.4,2,IF(E13&lt;0.6,1,0)))</f>
        <v/>
      </c>
      <c r="F26" s="20" t="str">
        <f aca="false">IF(F13="","",IF(F13&lt;0.4,2,IF(F13&lt;0.6,1,0)))</f>
        <v/>
      </c>
      <c r="G26" s="20" t="str">
        <f aca="false">IF(G13="","",IF(G13&lt;0.4,2,IF(G13&lt;0.6,1,0)))</f>
        <v/>
      </c>
      <c r="H26" s="20" t="str">
        <f aca="false">IF(H13="","",IF(H13&lt;0.4,2,IF(H13&lt;0.6,1,0)))</f>
        <v/>
      </c>
      <c r="I26" s="20" t="str">
        <f aca="false">IF(I13="","",IF(I13&lt;0.4,2,IF(I13&lt;0.6,1,0)))</f>
        <v/>
      </c>
      <c r="J26" s="20" t="str">
        <f aca="false">IF(J13="","",IF(J13&lt;0.4,2,IF(J13&lt;0.6,1,0)))</f>
        <v/>
      </c>
      <c r="K26" s="20" t="str">
        <f aca="false">IF(K13="","",IF(K13&lt;0.4,2,IF(K13&lt;0.6,1,0)))</f>
        <v/>
      </c>
    </row>
    <row r="27" customFormat="false" ht="15" hidden="false" customHeight="false" outlineLevel="0" collapsed="false">
      <c r="B27" s="11" t="s">
        <v>251</v>
      </c>
      <c r="C27" s="30" t="n">
        <v>0.15</v>
      </c>
      <c r="D27" s="20" t="n">
        <f aca="false">IF(D14="","",IF(D14&lt;1.5,2,IF(D14&lt;2.5,1,0)))</f>
        <v>0</v>
      </c>
      <c r="E27" s="20" t="str">
        <f aca="false">IF(E14="","",IF(E14&lt;1.5,2,IF(E14&lt;2.5,1,0)))</f>
        <v/>
      </c>
      <c r="F27" s="20" t="str">
        <f aca="false">IF(F14="","",IF(F14&lt;1.5,2,IF(F14&lt;2.5,1,0)))</f>
        <v/>
      </c>
      <c r="G27" s="20" t="str">
        <f aca="false">IF(G14="","",IF(G14&lt;1.5,2,IF(G14&lt;2.5,1,0)))</f>
        <v/>
      </c>
      <c r="H27" s="20" t="str">
        <f aca="false">IF(H14="","",IF(H14&lt;1.5,2,IF(H14&lt;2.5,1,0)))</f>
        <v/>
      </c>
      <c r="I27" s="20" t="str">
        <f aca="false">IF(I14="","",IF(I14&lt;1.5,2,IF(I14&lt;2.5,1,0)))</f>
        <v/>
      </c>
      <c r="J27" s="20" t="str">
        <f aca="false">IF(J14="","",IF(J14&lt;1.5,2,IF(J14&lt;2.5,1,0)))</f>
        <v/>
      </c>
      <c r="K27" s="20" t="str">
        <f aca="false">IF(K14="","",IF(K14&lt;1.5,2,IF(K14&lt;2.5,1,0)))</f>
        <v/>
      </c>
    </row>
    <row r="28" customFormat="false" ht="15" hidden="false" customHeight="false" outlineLevel="0" collapsed="false">
      <c r="B28" s="11" t="s">
        <v>269</v>
      </c>
      <c r="C28" s="30" t="n">
        <v>0.05</v>
      </c>
      <c r="D28" s="20" t="n">
        <f aca="false">IF(D15="","",IF(D15&lt;0.45,2,IF(D15&lt;0.6,1,0)))</f>
        <v>1</v>
      </c>
      <c r="E28" s="20" t="str">
        <f aca="false">IF(E15="","",IF(E15&lt;0.45,2,IF(E15&lt;0.6,1,0)))</f>
        <v/>
      </c>
      <c r="F28" s="20" t="str">
        <f aca="false">IF(F15="","",IF(F15&lt;0.45,2,IF(F15&lt;0.6,1,0)))</f>
        <v/>
      </c>
      <c r="G28" s="20" t="str">
        <f aca="false">IF(G15="","",IF(G15&lt;0.45,2,IF(G15&lt;0.6,1,0)))</f>
        <v/>
      </c>
      <c r="H28" s="20" t="str">
        <f aca="false">IF(H15="","",IF(H15&lt;0.45,2,IF(H15&lt;0.6,1,0)))</f>
        <v/>
      </c>
      <c r="I28" s="20" t="str">
        <f aca="false">IF(I15="","",IF(I15&lt;0.45,2,IF(I15&lt;0.6,1,0)))</f>
        <v/>
      </c>
      <c r="J28" s="20" t="str">
        <f aca="false">IF(J15="","",IF(J15&lt;0.45,2,IF(J15&lt;0.6,1,0)))</f>
        <v/>
      </c>
      <c r="K28" s="20" t="str">
        <f aca="false">IF(K15="","",IF(K15&lt;0.45,2,IF(K15&lt;0.6,1,0)))</f>
        <v/>
      </c>
    </row>
    <row r="29" customFormat="false" ht="15" hidden="false" customHeight="false" outlineLevel="0" collapsed="false">
      <c r="B29" s="11" t="s">
        <v>270</v>
      </c>
      <c r="C29" s="30" t="n">
        <v>0.15</v>
      </c>
      <c r="D29" s="20" t="n">
        <f aca="false">IF(D16="","",IF(D16&gt;=0.35,2,IF(D16&gt;=0.3,1,0)))</f>
        <v>2</v>
      </c>
      <c r="E29" s="20" t="str">
        <f aca="false">IF(E16="","",IF(E16&gt;=0.35,2,IF(E16&gt;=0.3,1,0)))</f>
        <v/>
      </c>
      <c r="F29" s="20" t="str">
        <f aca="false">IF(F16="","",IF(F16&gt;=0.35,2,IF(F16&gt;=0.3,1,0)))</f>
        <v/>
      </c>
      <c r="G29" s="20" t="str">
        <f aca="false">IF(G16="","",IF(G16&gt;=0.35,2,IF(G16&gt;=0.3,1,0)))</f>
        <v/>
      </c>
      <c r="H29" s="20" t="str">
        <f aca="false">IF(H16="","",IF(H16&gt;=0.35,2,IF(H16&gt;=0.3,1,0)))</f>
        <v/>
      </c>
      <c r="I29" s="20" t="str">
        <f aca="false">IF(I16="","",IF(I16&gt;=0.35,2,IF(I16&gt;=0.3,1,0)))</f>
        <v/>
      </c>
      <c r="J29" s="20" t="str">
        <f aca="false">IF(J16="","",IF(J16&gt;=0.35,2,IF(J16&gt;=0.3,1,0)))</f>
        <v/>
      </c>
      <c r="K29" s="20" t="str">
        <f aca="false">IF(K16="","",IF(K16&gt;=0.35,2,IF(K16&gt;=0.3,1,0)))</f>
        <v/>
      </c>
    </row>
    <row r="30" customFormat="false" ht="15" hidden="false" customHeight="false" outlineLevel="0" collapsed="false">
      <c r="B30" s="11" t="s">
        <v>271</v>
      </c>
      <c r="C30" s="30" t="n">
        <v>0.05</v>
      </c>
      <c r="D30" s="20" t="n">
        <f aca="false">IF(D17="","",IF(D17&lt;=0.8*$C$4,2,IF(D17&lt;=$C$4,1,0)))</f>
        <v>0</v>
      </c>
      <c r="E30" s="20" t="str">
        <f aca="false">IF(E17="","",IF(E17&lt;=0.8*$C$4,2,IF(E17&lt;=$C$4,1,0)))</f>
        <v/>
      </c>
      <c r="F30" s="20" t="str">
        <f aca="false">IF(F17="","",IF(F17&lt;=0.8*$C$4,2,IF(F17&lt;=$C$4,1,0)))</f>
        <v/>
      </c>
      <c r="G30" s="20" t="str">
        <f aca="false">IF(G17="","",IF(G17&lt;=0.8*$C$4,2,IF(G17&lt;=$C$4,1,0)))</f>
        <v/>
      </c>
      <c r="H30" s="20" t="str">
        <f aca="false">IF(H17="","",IF(H17&lt;=0.8*$C$4,2,IF(H17&lt;=$C$4,1,0)))</f>
        <v/>
      </c>
      <c r="I30" s="20" t="str">
        <f aca="false">IF(I17="","",IF(I17&lt;=0.8*$C$4,2,IF(I17&lt;=$C$4,1,0)))</f>
        <v/>
      </c>
      <c r="J30" s="20" t="str">
        <f aca="false">IF(J17="","",IF(J17&lt;=0.8*$C$4,2,IF(J17&lt;=$C$4,1,0)))</f>
        <v/>
      </c>
      <c r="K30" s="20" t="str">
        <f aca="false">IF(K17="","",IF(K17&lt;=0.8*$C$4,2,IF(K17&lt;=$C$4,1,0)))</f>
        <v/>
      </c>
    </row>
    <row r="32" customFormat="false" ht="15" hidden="false" customHeight="false" outlineLevel="0" collapsed="false">
      <c r="B32" s="5" t="s">
        <v>272</v>
      </c>
      <c r="D32" s="23" t="n">
        <f aca="false">IF(COUNT(D21:D30)&lt;10,"",ROUND(SUMPRODUCT($C$21:$C$30,D21:D30)/2*100,0))</f>
        <v>65</v>
      </c>
      <c r="E32" s="23" t="str">
        <f aca="false">IF(COUNT(E21:E30)&lt;10,"",ROUND(SUMPRODUCT($C$21:$C$30,E21:E30)/2*100,0))</f>
        <v/>
      </c>
      <c r="F32" s="23" t="str">
        <f aca="false">IF(COUNT(F21:F30)&lt;10,"",ROUND(SUMPRODUCT($C$21:$C$30,F21:F30)/2*100,0))</f>
        <v/>
      </c>
      <c r="G32" s="23" t="str">
        <f aca="false">IF(COUNT(G21:G30)&lt;10,"",ROUND(SUMPRODUCT($C$21:$C$30,G21:G30)/2*100,0))</f>
        <v/>
      </c>
      <c r="H32" s="23" t="str">
        <f aca="false">IF(COUNT(H21:H30)&lt;10,"",ROUND(SUMPRODUCT($C$21:$C$30,H21:H30)/2*100,0))</f>
        <v/>
      </c>
      <c r="I32" s="23" t="str">
        <f aca="false">IF(COUNT(I21:I30)&lt;10,"",ROUND(SUMPRODUCT($C$21:$C$30,I21:I30)/2*100,0))</f>
        <v/>
      </c>
      <c r="J32" s="23" t="str">
        <f aca="false">IF(COUNT(J21:J30)&lt;10,"",ROUND(SUMPRODUCT($C$21:$C$30,J21:J30)/2*100,0))</f>
        <v/>
      </c>
      <c r="K32" s="23" t="str">
        <f aca="false">IF(COUNT(K21:K30)&lt;10,"",ROUND(SUMPRODUCT($C$21:$C$30,K21:K30)/2*100,0))</f>
        <v/>
      </c>
    </row>
    <row r="33" customFormat="false" ht="15" hidden="false" customHeight="false" outlineLevel="0" collapsed="false">
      <c r="B33" s="5" t="s">
        <v>273</v>
      </c>
      <c r="D33" s="5" t="str">
        <f aca="false">IF(D18="NO","DISQUALIFIED: compliance",IF(D14="","—",IF(D14&gt;=4,"DISQUALIFIED: single-season","OK")))</f>
        <v>DISQUALIFIED: compliance</v>
      </c>
      <c r="E33" s="5" t="str">
        <f aca="false">IF(E18="NO","DISQUALIFIED: compliance",IF(E14="","—",IF(E14&gt;=4,"DISQUALIFIED: single-season","OK")))</f>
        <v>—</v>
      </c>
      <c r="F33" s="5" t="str">
        <f aca="false">IF(F18="NO","DISQUALIFIED: compliance",IF(F14="","—",IF(F14&gt;=4,"DISQUALIFIED: single-season","OK")))</f>
        <v>—</v>
      </c>
      <c r="G33" s="5" t="str">
        <f aca="false">IF(G18="NO","DISQUALIFIED: compliance",IF(G14="","—",IF(G14&gt;=4,"DISQUALIFIED: single-season","OK")))</f>
        <v>—</v>
      </c>
      <c r="H33" s="5" t="str">
        <f aca="false">IF(H18="NO","DISQUALIFIED: compliance",IF(H14="","—",IF(H14&gt;=4,"DISQUALIFIED: single-season","OK")))</f>
        <v>—</v>
      </c>
      <c r="I33" s="5" t="str">
        <f aca="false">IF(I18="NO","DISQUALIFIED: compliance",IF(I14="","—",IF(I14&gt;=4,"DISQUALIFIED: single-season","OK")))</f>
        <v>—</v>
      </c>
      <c r="J33" s="5" t="str">
        <f aca="false">IF(J18="NO","DISQUALIFIED: compliance",IF(J14="","—",IF(J14&gt;=4,"DISQUALIFIED: single-season","OK")))</f>
        <v>—</v>
      </c>
      <c r="K33" s="5" t="str">
        <f aca="false">IF(K18="NO","DISQUALIFIED: compliance",IF(K14="","—",IF(K14&gt;=4,"DISQUALIFIED: single-season","OK")))</f>
        <v>—</v>
      </c>
    </row>
    <row r="34" customFormat="false" ht="15" hidden="false" customHeight="false" outlineLevel="0" collapsed="false">
      <c r="B34" s="5" t="s">
        <v>94</v>
      </c>
      <c r="D34" s="5" t="str">
        <f aca="false">IF(D32="","",IF(D33&lt;&gt;"OK","DROP",IF(D32&gt;=70,"INVESTIGATE",IF(D32&gt;=50,"PARK","DROP"))))</f>
        <v>DROP</v>
      </c>
      <c r="E34" s="5" t="str">
        <f aca="false">IF(E32="","",IF(E33&lt;&gt;"OK","DROP",IF(E32&gt;=70,"INVESTIGATE",IF(E32&gt;=50,"PARK","DROP"))))</f>
        <v/>
      </c>
      <c r="F34" s="5" t="str">
        <f aca="false">IF(F32="","",IF(F33&lt;&gt;"OK","DROP",IF(F32&gt;=70,"INVESTIGATE",IF(F32&gt;=50,"PARK","DROP"))))</f>
        <v/>
      </c>
      <c r="G34" s="5" t="str">
        <f aca="false">IF(G32="","",IF(G33&lt;&gt;"OK","DROP",IF(G32&gt;=70,"INVESTIGATE",IF(G32&gt;=50,"PARK","DROP"))))</f>
        <v/>
      </c>
      <c r="H34" s="5" t="str">
        <f aca="false">IF(H32="","",IF(H33&lt;&gt;"OK","DROP",IF(H32&gt;=70,"INVESTIGATE",IF(H32&gt;=50,"PARK","DROP"))))</f>
        <v/>
      </c>
      <c r="I34" s="5" t="str">
        <f aca="false">IF(I32="","",IF(I33&lt;&gt;"OK","DROP",IF(I32&gt;=70,"INVESTIGATE",IF(I32&gt;=50,"PARK","DROP"))))</f>
        <v/>
      </c>
      <c r="J34" s="5" t="str">
        <f aca="false">IF(J32="","",IF(J33&lt;&gt;"OK","DROP",IF(J32&gt;=70,"INVESTIGATE",IF(J32&gt;=50,"PARK","DROP"))))</f>
        <v/>
      </c>
      <c r="K34" s="5" t="str">
        <f aca="false">IF(K32="","",IF(K33&lt;&gt;"OK","DROP",IF(K32&gt;=70,"INVESTIGATE",IF(K32&gt;=50,"PARK","DROP"))))</f>
        <v/>
      </c>
    </row>
    <row r="36" customFormat="false" ht="22.35" hidden="false" customHeight="false" outlineLevel="0" collapsed="false">
      <c r="B36" s="3" t="s">
        <v>274</v>
      </c>
    </row>
    <row r="37" customFormat="false" ht="32.8" hidden="false" customHeight="false" outlineLevel="0" collapsed="false">
      <c r="B37" s="3" t="s">
        <v>275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B1:E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3" min="3" style="0" width="14"/>
    <col collapsed="false" customWidth="true" hidden="false" outlineLevel="0" max="4" min="4" style="0" width="2"/>
    <col collapsed="false" customWidth="true" hidden="false" outlineLevel="0" max="5" min="5" style="0" width="64"/>
  </cols>
  <sheetData>
    <row r="1" customFormat="false" ht="15" hidden="false" customHeight="false" outlineLevel="0" collapsed="false">
      <c r="B1" s="6" t="str">
        <f aca="false">HYPERLINK("#Start!B2","← Start")</f>
        <v>← Start</v>
      </c>
    </row>
    <row r="2" customFormat="false" ht="15" hidden="false" customHeight="false" outlineLevel="0" collapsed="false">
      <c r="B2" s="1" t="s">
        <v>276</v>
      </c>
    </row>
    <row r="3" customFormat="false" ht="46.25" hidden="false" customHeight="false" outlineLevel="0" collapsed="false">
      <c r="B3" s="2" t="s">
        <v>277</v>
      </c>
    </row>
    <row r="5" customFormat="false" ht="15" hidden="false" customHeight="false" outlineLevel="0" collapsed="false">
      <c r="B5" s="4" t="s">
        <v>128</v>
      </c>
      <c r="C5" s="4"/>
    </row>
    <row r="6" customFormat="false" ht="22.35" hidden="false" customHeight="false" outlineLevel="0" collapsed="false">
      <c r="B6" s="11" t="s">
        <v>278</v>
      </c>
      <c r="C6" s="12" t="n">
        <v>600</v>
      </c>
      <c r="E6" s="3" t="s">
        <v>279</v>
      </c>
    </row>
    <row r="7" customFormat="false" ht="15" hidden="false" customHeight="false" outlineLevel="0" collapsed="false">
      <c r="B7" s="11" t="s">
        <v>280</v>
      </c>
      <c r="C7" s="12" t="n">
        <v>1400</v>
      </c>
      <c r="E7" s="3" t="s">
        <v>281</v>
      </c>
    </row>
    <row r="8" customFormat="false" ht="15" hidden="false" customHeight="false" outlineLevel="0" collapsed="false">
      <c r="B8" s="11" t="s">
        <v>282</v>
      </c>
      <c r="C8" s="25" t="n">
        <v>5</v>
      </c>
      <c r="E8" s="3" t="s">
        <v>283</v>
      </c>
    </row>
    <row r="9" customFormat="false" ht="15" hidden="false" customHeight="false" outlineLevel="0" collapsed="false">
      <c r="B9" s="11" t="s">
        <v>284</v>
      </c>
      <c r="C9" s="25" t="n">
        <v>1</v>
      </c>
      <c r="E9" s="3" t="s">
        <v>285</v>
      </c>
    </row>
    <row r="10" customFormat="false" ht="15" hidden="false" customHeight="false" outlineLevel="0" collapsed="false">
      <c r="B10" s="11" t="s">
        <v>286</v>
      </c>
      <c r="C10" s="12" t="n">
        <v>300</v>
      </c>
      <c r="E10" s="3" t="s">
        <v>287</v>
      </c>
    </row>
    <row r="11" customFormat="false" ht="15" hidden="false" customHeight="false" outlineLevel="0" collapsed="false">
      <c r="B11" s="11" t="s">
        <v>288</v>
      </c>
      <c r="C11" s="25" t="n">
        <v>5000</v>
      </c>
      <c r="E11" s="3" t="s">
        <v>289</v>
      </c>
    </row>
    <row r="13" customFormat="false" ht="15" hidden="false" customHeight="false" outlineLevel="0" collapsed="false">
      <c r="B13" s="4" t="s">
        <v>290</v>
      </c>
      <c r="C13" s="4"/>
    </row>
    <row r="14" customFormat="false" ht="15" hidden="false" customHeight="false" outlineLevel="0" collapsed="false">
      <c r="B14" s="11" t="s">
        <v>291</v>
      </c>
      <c r="C14" s="31" t="n">
        <f aca="false">'3 Unit economics'!C29</f>
        <v>20.3395705882353</v>
      </c>
    </row>
    <row r="15" customFormat="false" ht="15" hidden="false" customHeight="false" outlineLevel="0" collapsed="false">
      <c r="B15" s="11" t="s">
        <v>163</v>
      </c>
      <c r="C15" s="31" t="n">
        <f aca="false">-'3 Unit economics'!C27</f>
        <v>12.9294</v>
      </c>
    </row>
    <row r="17" customFormat="false" ht="15" hidden="false" customHeight="false" outlineLevel="0" collapsed="false">
      <c r="B17" s="4" t="s">
        <v>155</v>
      </c>
      <c r="C17" s="4"/>
    </row>
    <row r="18" customFormat="false" ht="15" hidden="false" customHeight="false" outlineLevel="0" collapsed="false">
      <c r="B18" s="11" t="s">
        <v>292</v>
      </c>
      <c r="C18" s="13" t="n">
        <f aca="false">(C6+C7)/2</f>
        <v>1000</v>
      </c>
    </row>
    <row r="19" customFormat="false" ht="15" hidden="false" customHeight="false" outlineLevel="0" collapsed="false">
      <c r="B19" s="11" t="s">
        <v>293</v>
      </c>
      <c r="C19" s="13" t="n">
        <f aca="false">(C7-C6)/2.5631</f>
        <v>312.12203971753</v>
      </c>
      <c r="E19" s="3" t="s">
        <v>294</v>
      </c>
    </row>
    <row r="20" customFormat="false" ht="15" hidden="false" customHeight="false" outlineLevel="0" collapsed="false">
      <c r="B20" s="11" t="s">
        <v>295</v>
      </c>
      <c r="C20" s="27" t="n">
        <f aca="false">C15+C9-C8</f>
        <v>8.9294</v>
      </c>
      <c r="E20" s="3" t="s">
        <v>296</v>
      </c>
    </row>
    <row r="21" customFormat="false" ht="15" hidden="false" customHeight="false" outlineLevel="0" collapsed="false">
      <c r="B21" s="5" t="s">
        <v>297</v>
      </c>
      <c r="C21" s="18" t="n">
        <f aca="false">IFERROR(C14/(C14+C20),"")</f>
        <v>0.694919232875611</v>
      </c>
      <c r="E21" s="3" t="s">
        <v>298</v>
      </c>
    </row>
    <row r="22" customFormat="false" ht="15" hidden="false" customHeight="false" outlineLevel="0" collapsed="false">
      <c r="B22" s="11" t="s">
        <v>299</v>
      </c>
      <c r="C22" s="13" t="n">
        <f aca="false">IFERROR(ROUND(NORMINV(C21,C18,C19),0),"")</f>
        <v>1159</v>
      </c>
    </row>
    <row r="23" customFormat="false" ht="15" hidden="false" customHeight="false" outlineLevel="0" collapsed="false">
      <c r="B23" s="11" t="s">
        <v>300</v>
      </c>
      <c r="C23" s="13" t="n">
        <f aca="false">IFERROR(INT(C11/C15),"")</f>
        <v>386</v>
      </c>
    </row>
    <row r="24" customFormat="false" ht="15" hidden="false" customHeight="false" outlineLevel="0" collapsed="false">
      <c r="B24" s="5" t="s">
        <v>301</v>
      </c>
      <c r="C24" s="17" t="n">
        <f aca="false">IFERROR(MIN(MAX(C10,C22),C23),"")</f>
        <v>386</v>
      </c>
      <c r="E24" s="3" t="s">
        <v>302</v>
      </c>
    </row>
    <row r="25" customFormat="false" ht="15" hidden="false" customHeight="false" outlineLevel="0" collapsed="false">
      <c r="B25" s="11" t="s">
        <v>303</v>
      </c>
      <c r="C25" s="14" t="n">
        <f aca="false">IFERROR((C24-C18)/C19,"")</f>
        <v>-1.96717925</v>
      </c>
    </row>
    <row r="26" customFormat="false" ht="15" hidden="false" customHeight="false" outlineLevel="0" collapsed="false">
      <c r="B26" s="11" t="s">
        <v>304</v>
      </c>
      <c r="C26" s="13" t="n">
        <f aca="false">IFERROR(ROUND(C19*(NORMDIST(C25,0,1,FALSE())-C25*(1-NORMSDIST(C25))),0),"")</f>
        <v>617</v>
      </c>
    </row>
    <row r="27" customFormat="false" ht="15" hidden="false" customHeight="false" outlineLevel="0" collapsed="false">
      <c r="B27" s="11" t="s">
        <v>305</v>
      </c>
      <c r="C27" s="13" t="n">
        <f aca="false">IFERROR(ROUND(C24-C18+C26,0),"")</f>
        <v>3</v>
      </c>
    </row>
    <row r="28" customFormat="false" ht="15" hidden="false" customHeight="false" outlineLevel="0" collapsed="false">
      <c r="B28" s="11" t="s">
        <v>306</v>
      </c>
      <c r="C28" s="13" t="n">
        <f aca="false">IFERROR(ROUND(C14*(C18-C26)-C20*C27,0),"")</f>
        <v>7763</v>
      </c>
    </row>
    <row r="30" customFormat="false" ht="15" hidden="false" customHeight="false" outlineLevel="0" collapsed="false">
      <c r="B30" s="5" t="str">
        <f aca="false">IF(OR(C22="",C10=""),"",IF(C10&gt;C22*1.2,"⚠ MOQ is far above the optimum — negotiate MOQ down or reconsider the product.",""))</f>
        <v/>
      </c>
    </row>
    <row r="31" customFormat="false" ht="15" hidden="false" customHeight="false" outlineLevel="0" collapsed="false">
      <c r="B31" s="5" t="str">
        <f aca="false">IF(OR(C22="",C23=""),"",IF(C23&lt;C22*0.8,"⚠ Budget caps you well below the optimum — plan the reorder date now (Sheet 8).",""))</f>
        <v>⚠ Budget caps you well below the optimum — plan the reorder date now (Sheet 8).</v>
      </c>
    </row>
    <row r="33" customFormat="false" ht="22.35" hidden="false" customHeight="false" outlineLevel="0" collapsed="false">
      <c r="B33" s="3" t="s">
        <v>307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B1:G2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9" topLeftCell="A3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24"/>
  </cols>
  <sheetData>
    <row r="1" customFormat="false" ht="15" hidden="false" customHeight="false" outlineLevel="0" collapsed="false">
      <c r="B1" s="6" t="str">
        <f aca="false">HYPERLINK("#Start!B2","← Start")</f>
        <v>← Start</v>
      </c>
    </row>
    <row r="2" customFormat="false" ht="15" hidden="false" customHeight="false" outlineLevel="0" collapsed="false">
      <c r="B2" s="1" t="s">
        <v>308</v>
      </c>
    </row>
    <row r="3" customFormat="false" ht="35.05" hidden="false" customHeight="false" outlineLevel="0" collapsed="false">
      <c r="B3" s="2" t="s">
        <v>309</v>
      </c>
    </row>
    <row r="5" customFormat="false" ht="15" hidden="false" customHeight="false" outlineLevel="0" collapsed="false">
      <c r="B5" s="4" t="s">
        <v>310</v>
      </c>
      <c r="C5" s="4"/>
    </row>
    <row r="6" customFormat="false" ht="15" hidden="false" customHeight="false" outlineLevel="0" collapsed="false">
      <c r="B6" s="11" t="s">
        <v>311</v>
      </c>
      <c r="C6" s="31" t="n">
        <f aca="false">'3 Unit economics'!C6</f>
        <v>59.99</v>
      </c>
    </row>
    <row r="7" customFormat="false" ht="15" hidden="false" customHeight="false" outlineLevel="0" collapsed="false">
      <c r="B7" s="11" t="s">
        <v>166</v>
      </c>
      <c r="C7" s="31" t="n">
        <f aca="false">'3 Unit economics'!C29</f>
        <v>20.3395705882353</v>
      </c>
    </row>
    <row r="8" customFormat="false" ht="15" hidden="false" customHeight="false" outlineLevel="0" collapsed="false">
      <c r="B8" s="11" t="s">
        <v>312</v>
      </c>
      <c r="C8" s="18" t="n">
        <f aca="false">IFERROR(C7/C6,"")</f>
        <v>0.339049351362482</v>
      </c>
    </row>
    <row r="9" customFormat="false" ht="15" hidden="false" customHeight="false" outlineLevel="0" collapsed="false">
      <c r="B9" s="11" t="s">
        <v>313</v>
      </c>
      <c r="C9" s="14" t="n">
        <f aca="false">IFERROR(1/C8,"")</f>
        <v>2.94942313259549</v>
      </c>
    </row>
    <row r="10" customFormat="false" ht="53.7" hidden="false" customHeight="false" outlineLevel="0" collapsed="false">
      <c r="B10" s="11" t="s">
        <v>314</v>
      </c>
      <c r="C10" s="26" t="n">
        <v>0.3</v>
      </c>
      <c r="E10" s="3" t="s">
        <v>315</v>
      </c>
    </row>
    <row r="11" customFormat="false" ht="15" hidden="false" customHeight="false" outlineLevel="0" collapsed="false">
      <c r="B11" s="5" t="s">
        <v>316</v>
      </c>
      <c r="C11" s="18" t="n">
        <f aca="false">IFERROR(C8*C10,"")</f>
        <v>0.101714805408745</v>
      </c>
    </row>
    <row r="12" customFormat="false" ht="15" hidden="false" customHeight="false" outlineLevel="0" collapsed="false">
      <c r="B12" s="11" t="s">
        <v>317</v>
      </c>
      <c r="C12" s="14" t="n">
        <f aca="false">IFERROR(1/C11,"")</f>
        <v>9.83141044198496</v>
      </c>
    </row>
    <row r="14" customFormat="false" ht="15" hidden="false" customHeight="false" outlineLevel="0" collapsed="false">
      <c r="B14" s="4" t="s">
        <v>318</v>
      </c>
      <c r="C14" s="4"/>
    </row>
    <row r="15" customFormat="false" ht="15" hidden="false" customHeight="false" outlineLevel="0" collapsed="false">
      <c r="B15" s="11" t="s">
        <v>319</v>
      </c>
      <c r="C15" s="22" t="n">
        <v>3</v>
      </c>
    </row>
    <row r="16" customFormat="false" ht="15" hidden="false" customHeight="false" outlineLevel="0" collapsed="false">
      <c r="B16" s="11" t="s">
        <v>320</v>
      </c>
      <c r="C16" s="25" t="n">
        <v>0.8</v>
      </c>
    </row>
    <row r="17" customFormat="false" ht="95.5" hidden="false" customHeight="false" outlineLevel="0" collapsed="false">
      <c r="B17" s="11" t="s">
        <v>321</v>
      </c>
      <c r="C17" s="26" t="n">
        <v>0.1</v>
      </c>
      <c r="E17" s="3" t="s">
        <v>322</v>
      </c>
    </row>
    <row r="18" customFormat="false" ht="15" hidden="false" customHeight="false" outlineLevel="0" collapsed="false">
      <c r="B18" s="11" t="s">
        <v>323</v>
      </c>
      <c r="C18" s="27" t="n">
        <f aca="false">IFERROR(C15*C16/C17,"")</f>
        <v>24</v>
      </c>
    </row>
    <row r="19" customFormat="false" ht="15" hidden="false" customHeight="false" outlineLevel="0" collapsed="false">
      <c r="B19" s="11" t="s">
        <v>324</v>
      </c>
      <c r="C19" s="22" t="n">
        <v>4</v>
      </c>
    </row>
    <row r="20" customFormat="false" ht="15" hidden="false" customHeight="false" outlineLevel="0" collapsed="false">
      <c r="B20" s="5" t="s">
        <v>325</v>
      </c>
      <c r="C20" s="28" t="n">
        <f aca="false">IFERROR(C18*7*C19,"")</f>
        <v>672</v>
      </c>
    </row>
    <row r="21" customFormat="false" ht="32.8" hidden="false" customHeight="false" outlineLevel="0" collapsed="false">
      <c r="B21" s="3" t="s">
        <v>326</v>
      </c>
    </row>
    <row r="22" customFormat="false" ht="15" hidden="false" customHeight="false" outlineLevel="0" collapsed="false">
      <c r="B22" s="4" t="s">
        <v>327</v>
      </c>
      <c r="C22" s="4"/>
    </row>
    <row r="23" customFormat="false" ht="15" hidden="false" customHeight="false" outlineLevel="0" collapsed="false">
      <c r="B23" s="11" t="s">
        <v>328</v>
      </c>
      <c r="C23" s="22" t="n">
        <v>15</v>
      </c>
    </row>
    <row r="24" customFormat="false" ht="15" hidden="false" customHeight="false" outlineLevel="0" collapsed="false">
      <c r="B24" s="11" t="s">
        <v>329</v>
      </c>
      <c r="C24" s="25" t="n">
        <v>10</v>
      </c>
    </row>
    <row r="25" customFormat="false" ht="15" hidden="false" customHeight="false" outlineLevel="0" collapsed="false">
      <c r="B25" s="5" t="s">
        <v>330</v>
      </c>
      <c r="C25" s="28" t="n">
        <f aca="false">IFERROR(SUMIFS($D$30:$D$229,$E$30:$E$229,0,$B$30:$B$229,"&lt;&gt;"),0)</f>
        <v>45</v>
      </c>
    </row>
    <row r="26" customFormat="false" ht="15" hidden="false" customHeight="false" outlineLevel="0" collapsed="false">
      <c r="B26" s="5" t="s">
        <v>331</v>
      </c>
      <c r="C26" s="23" t="n">
        <f aca="false">COUNTIF($G$30:$G$229,"ADD AS NEGATIVE")</f>
        <v>2</v>
      </c>
    </row>
    <row r="28" customFormat="false" ht="43.25" hidden="false" customHeight="false" outlineLevel="0" collapsed="false">
      <c r="B28" s="3" t="s">
        <v>332</v>
      </c>
    </row>
    <row r="29" customFormat="false" ht="15" hidden="false" customHeight="false" outlineLevel="0" collapsed="false">
      <c r="B29" s="4" t="s">
        <v>333</v>
      </c>
      <c r="C29" s="4" t="s">
        <v>334</v>
      </c>
      <c r="D29" s="4" t="s">
        <v>335</v>
      </c>
      <c r="E29" s="4" t="s">
        <v>336</v>
      </c>
      <c r="F29" s="4" t="s">
        <v>337</v>
      </c>
      <c r="G29" s="4" t="s">
        <v>71</v>
      </c>
    </row>
    <row r="30" customFormat="false" ht="15" hidden="false" customHeight="false" outlineLevel="0" collapsed="false">
      <c r="B30" s="9" t="s">
        <v>338</v>
      </c>
      <c r="C30" s="22" t="n">
        <v>42</v>
      </c>
      <c r="D30" s="25" t="n">
        <v>31.5</v>
      </c>
      <c r="E30" s="22" t="n">
        <v>3</v>
      </c>
      <c r="F30" s="25" t="n">
        <v>134.85</v>
      </c>
      <c r="G30" s="11" t="str">
        <f aca="false">IF(COUNT(C30:F30)&lt;4,"",IF(AND(E30=0,OR(C30&gt;=$C$23,D30&gt;=$C$24)),"ADD AS NEGATIVE",IF(AND(F30&gt;0,D30/F30&gt;$C$8),"ACOS &gt; BREAKEVEN","OK")))</f>
        <v>OK</v>
      </c>
    </row>
    <row r="31" customFormat="false" ht="15" hidden="false" customHeight="false" outlineLevel="0" collapsed="false">
      <c r="B31" s="9" t="s">
        <v>339</v>
      </c>
      <c r="C31" s="22" t="n">
        <v>23</v>
      </c>
      <c r="D31" s="25" t="n">
        <v>18.2</v>
      </c>
      <c r="E31" s="22" t="n">
        <v>0</v>
      </c>
      <c r="F31" s="25" t="n">
        <v>0</v>
      </c>
      <c r="G31" s="11" t="str">
        <f aca="false">IF(COUNT(C31:F31)&lt;4,"",IF(AND(E31=0,OR(C31&gt;=$C$23,D31&gt;=$C$24)),"ADD AS NEGATIVE",IF(AND(F31&gt;0,D31/F31&gt;$C$8),"ACOS &gt; BREAKEVEN","OK")))</f>
        <v>ADD AS NEGATIVE</v>
      </c>
    </row>
    <row r="32" customFormat="false" ht="15" hidden="false" customHeight="false" outlineLevel="0" collapsed="false">
      <c r="B32" s="9" t="s">
        <v>340</v>
      </c>
      <c r="C32" s="22" t="n">
        <v>35</v>
      </c>
      <c r="D32" s="25" t="n">
        <v>26.8</v>
      </c>
      <c r="E32" s="22" t="n">
        <v>0</v>
      </c>
      <c r="F32" s="25" t="n">
        <v>0</v>
      </c>
      <c r="G32" s="11" t="str">
        <f aca="false">IF(COUNT(C32:F32)&lt;4,"",IF(AND(E32=0,OR(C32&gt;=$C$23,D32&gt;=$C$24)),"ADD AS NEGATIVE",IF(AND(F32&gt;0,D32/F32&gt;$C$8),"ACOS &gt; BREAKEVEN","OK")))</f>
        <v>ADD AS NEGATIVE</v>
      </c>
    </row>
    <row r="33" customFormat="false" ht="15" hidden="false" customHeight="false" outlineLevel="0" collapsed="false">
      <c r="B33" s="9"/>
      <c r="C33" s="22"/>
      <c r="D33" s="25"/>
      <c r="E33" s="22"/>
      <c r="F33" s="25"/>
      <c r="G33" s="11" t="str">
        <f aca="false">IF(COUNT(C33:F33)&lt;4,"",IF(AND(E33=0,OR(C33&gt;=$C$23,D33&gt;=$C$24)),"ADD AS NEGATIVE",IF(AND(F33&gt;0,D33/F33&gt;$C$8),"ACOS &gt; BREAKEVEN","OK")))</f>
        <v/>
      </c>
    </row>
    <row r="34" customFormat="false" ht="15" hidden="false" customHeight="false" outlineLevel="0" collapsed="false">
      <c r="B34" s="9"/>
      <c r="C34" s="22"/>
      <c r="D34" s="25"/>
      <c r="E34" s="22"/>
      <c r="F34" s="25"/>
      <c r="G34" s="11" t="str">
        <f aca="false">IF(COUNT(C34:F34)&lt;4,"",IF(AND(E34=0,OR(C34&gt;=$C$23,D34&gt;=$C$24)),"ADD AS NEGATIVE",IF(AND(F34&gt;0,D34/F34&gt;$C$8),"ACOS &gt; BREAKEVEN","OK")))</f>
        <v/>
      </c>
    </row>
    <row r="35" customFormat="false" ht="15" hidden="false" customHeight="false" outlineLevel="0" collapsed="false">
      <c r="B35" s="9"/>
      <c r="C35" s="22"/>
      <c r="D35" s="25"/>
      <c r="E35" s="22"/>
      <c r="F35" s="25"/>
      <c r="G35" s="11" t="str">
        <f aca="false">IF(COUNT(C35:F35)&lt;4,"",IF(AND(E35=0,OR(C35&gt;=$C$23,D35&gt;=$C$24)),"ADD AS NEGATIVE",IF(AND(F35&gt;0,D35/F35&gt;$C$8),"ACOS &gt; BREAKEVEN","OK")))</f>
        <v/>
      </c>
    </row>
    <row r="36" customFormat="false" ht="15" hidden="false" customHeight="false" outlineLevel="0" collapsed="false">
      <c r="B36" s="9"/>
      <c r="C36" s="22"/>
      <c r="D36" s="25"/>
      <c r="E36" s="22"/>
      <c r="F36" s="25"/>
      <c r="G36" s="11" t="str">
        <f aca="false">IF(COUNT(C36:F36)&lt;4,"",IF(AND(E36=0,OR(C36&gt;=$C$23,D36&gt;=$C$24)),"ADD AS NEGATIVE",IF(AND(F36&gt;0,D36/F36&gt;$C$8),"ACOS &gt; BREAKEVEN","OK")))</f>
        <v/>
      </c>
    </row>
    <row r="37" customFormat="false" ht="15" hidden="false" customHeight="false" outlineLevel="0" collapsed="false">
      <c r="B37" s="9"/>
      <c r="C37" s="22"/>
      <c r="D37" s="25"/>
      <c r="E37" s="22"/>
      <c r="F37" s="25"/>
      <c r="G37" s="11" t="str">
        <f aca="false">IF(COUNT(C37:F37)&lt;4,"",IF(AND(E37=0,OR(C37&gt;=$C$23,D37&gt;=$C$24)),"ADD AS NEGATIVE",IF(AND(F37&gt;0,D37/F37&gt;$C$8),"ACOS &gt; BREAKEVEN","OK")))</f>
        <v/>
      </c>
    </row>
    <row r="38" customFormat="false" ht="15" hidden="false" customHeight="false" outlineLevel="0" collapsed="false">
      <c r="B38" s="9"/>
      <c r="C38" s="22"/>
      <c r="D38" s="25"/>
      <c r="E38" s="22"/>
      <c r="F38" s="25"/>
      <c r="G38" s="11" t="str">
        <f aca="false">IF(COUNT(C38:F38)&lt;4,"",IF(AND(E38=0,OR(C38&gt;=$C$23,D38&gt;=$C$24)),"ADD AS NEGATIVE",IF(AND(F38&gt;0,D38/F38&gt;$C$8),"ACOS &gt; BREAKEVEN","OK")))</f>
        <v/>
      </c>
    </row>
    <row r="39" customFormat="false" ht="15" hidden="false" customHeight="false" outlineLevel="0" collapsed="false">
      <c r="B39" s="9"/>
      <c r="C39" s="22"/>
      <c r="D39" s="25"/>
      <c r="E39" s="22"/>
      <c r="F39" s="25"/>
      <c r="G39" s="11" t="str">
        <f aca="false">IF(COUNT(C39:F39)&lt;4,"",IF(AND(E39=0,OR(C39&gt;=$C$23,D39&gt;=$C$24)),"ADD AS NEGATIVE",IF(AND(F39&gt;0,D39/F39&gt;$C$8),"ACOS &gt; BREAKEVEN","OK")))</f>
        <v/>
      </c>
    </row>
    <row r="40" customFormat="false" ht="15" hidden="false" customHeight="false" outlineLevel="0" collapsed="false">
      <c r="B40" s="9"/>
      <c r="C40" s="22"/>
      <c r="D40" s="25"/>
      <c r="E40" s="22"/>
      <c r="F40" s="25"/>
      <c r="G40" s="11" t="str">
        <f aca="false">IF(COUNT(C40:F40)&lt;4,"",IF(AND(E40=0,OR(C40&gt;=$C$23,D40&gt;=$C$24)),"ADD AS NEGATIVE",IF(AND(F40&gt;0,D40/F40&gt;$C$8),"ACOS &gt; BREAKEVEN","OK")))</f>
        <v/>
      </c>
    </row>
    <row r="41" customFormat="false" ht="15" hidden="false" customHeight="false" outlineLevel="0" collapsed="false">
      <c r="B41" s="9"/>
      <c r="C41" s="22"/>
      <c r="D41" s="25"/>
      <c r="E41" s="22"/>
      <c r="F41" s="25"/>
      <c r="G41" s="11" t="str">
        <f aca="false">IF(COUNT(C41:F41)&lt;4,"",IF(AND(E41=0,OR(C41&gt;=$C$23,D41&gt;=$C$24)),"ADD AS NEGATIVE",IF(AND(F41&gt;0,D41/F41&gt;$C$8),"ACOS &gt; BREAKEVEN","OK")))</f>
        <v/>
      </c>
    </row>
    <row r="42" customFormat="false" ht="15" hidden="false" customHeight="false" outlineLevel="0" collapsed="false">
      <c r="B42" s="9"/>
      <c r="C42" s="22"/>
      <c r="D42" s="25"/>
      <c r="E42" s="22"/>
      <c r="F42" s="25"/>
      <c r="G42" s="11" t="str">
        <f aca="false">IF(COUNT(C42:F42)&lt;4,"",IF(AND(E42=0,OR(C42&gt;=$C$23,D42&gt;=$C$24)),"ADD AS NEGATIVE",IF(AND(F42&gt;0,D42/F42&gt;$C$8),"ACOS &gt; BREAKEVEN","OK")))</f>
        <v/>
      </c>
    </row>
    <row r="43" customFormat="false" ht="15" hidden="false" customHeight="false" outlineLevel="0" collapsed="false">
      <c r="B43" s="9"/>
      <c r="C43" s="22"/>
      <c r="D43" s="25"/>
      <c r="E43" s="22"/>
      <c r="F43" s="25"/>
      <c r="G43" s="11" t="str">
        <f aca="false">IF(COUNT(C43:F43)&lt;4,"",IF(AND(E43=0,OR(C43&gt;=$C$23,D43&gt;=$C$24)),"ADD AS NEGATIVE",IF(AND(F43&gt;0,D43/F43&gt;$C$8),"ACOS &gt; BREAKEVEN","OK")))</f>
        <v/>
      </c>
    </row>
    <row r="44" customFormat="false" ht="15" hidden="false" customHeight="false" outlineLevel="0" collapsed="false">
      <c r="B44" s="9"/>
      <c r="C44" s="22"/>
      <c r="D44" s="25"/>
      <c r="E44" s="22"/>
      <c r="F44" s="25"/>
      <c r="G44" s="11" t="str">
        <f aca="false">IF(COUNT(C44:F44)&lt;4,"",IF(AND(E44=0,OR(C44&gt;=$C$23,D44&gt;=$C$24)),"ADD AS NEGATIVE",IF(AND(F44&gt;0,D44/F44&gt;$C$8),"ACOS &gt; BREAKEVEN","OK")))</f>
        <v/>
      </c>
    </row>
    <row r="45" customFormat="false" ht="15" hidden="false" customHeight="false" outlineLevel="0" collapsed="false">
      <c r="B45" s="9"/>
      <c r="C45" s="22"/>
      <c r="D45" s="25"/>
      <c r="E45" s="22"/>
      <c r="F45" s="25"/>
      <c r="G45" s="11" t="str">
        <f aca="false">IF(COUNT(C45:F45)&lt;4,"",IF(AND(E45=0,OR(C45&gt;=$C$23,D45&gt;=$C$24)),"ADD AS NEGATIVE",IF(AND(F45&gt;0,D45/F45&gt;$C$8),"ACOS &gt; BREAKEVEN","OK")))</f>
        <v/>
      </c>
    </row>
    <row r="46" customFormat="false" ht="15" hidden="false" customHeight="false" outlineLevel="0" collapsed="false">
      <c r="B46" s="9"/>
      <c r="C46" s="22"/>
      <c r="D46" s="25"/>
      <c r="E46" s="22"/>
      <c r="F46" s="25"/>
      <c r="G46" s="11" t="str">
        <f aca="false">IF(COUNT(C46:F46)&lt;4,"",IF(AND(E46=0,OR(C46&gt;=$C$23,D46&gt;=$C$24)),"ADD AS NEGATIVE",IF(AND(F46&gt;0,D46/F46&gt;$C$8),"ACOS &gt; BREAKEVEN","OK")))</f>
        <v/>
      </c>
    </row>
    <row r="47" customFormat="false" ht="15" hidden="false" customHeight="false" outlineLevel="0" collapsed="false">
      <c r="B47" s="9"/>
      <c r="C47" s="22"/>
      <c r="D47" s="25"/>
      <c r="E47" s="22"/>
      <c r="F47" s="25"/>
      <c r="G47" s="11" t="str">
        <f aca="false">IF(COUNT(C47:F47)&lt;4,"",IF(AND(E47=0,OR(C47&gt;=$C$23,D47&gt;=$C$24)),"ADD AS NEGATIVE",IF(AND(F47&gt;0,D47/F47&gt;$C$8),"ACOS &gt; BREAKEVEN","OK")))</f>
        <v/>
      </c>
    </row>
    <row r="48" customFormat="false" ht="15" hidden="false" customHeight="false" outlineLevel="0" collapsed="false">
      <c r="B48" s="9"/>
      <c r="C48" s="22"/>
      <c r="D48" s="25"/>
      <c r="E48" s="22"/>
      <c r="F48" s="25"/>
      <c r="G48" s="11" t="str">
        <f aca="false">IF(COUNT(C48:F48)&lt;4,"",IF(AND(E48=0,OR(C48&gt;=$C$23,D48&gt;=$C$24)),"ADD AS NEGATIVE",IF(AND(F48&gt;0,D48/F48&gt;$C$8),"ACOS &gt; BREAKEVEN","OK")))</f>
        <v/>
      </c>
    </row>
    <row r="49" customFormat="false" ht="15" hidden="false" customHeight="false" outlineLevel="0" collapsed="false">
      <c r="B49" s="9"/>
      <c r="C49" s="22"/>
      <c r="D49" s="25"/>
      <c r="E49" s="22"/>
      <c r="F49" s="25"/>
      <c r="G49" s="11" t="str">
        <f aca="false">IF(COUNT(C49:F49)&lt;4,"",IF(AND(E49=0,OR(C49&gt;=$C$23,D49&gt;=$C$24)),"ADD AS NEGATIVE",IF(AND(F49&gt;0,D49/F49&gt;$C$8),"ACOS &gt; BREAKEVEN","OK")))</f>
        <v/>
      </c>
    </row>
    <row r="50" customFormat="false" ht="15" hidden="false" customHeight="false" outlineLevel="0" collapsed="false">
      <c r="B50" s="9"/>
      <c r="C50" s="22"/>
      <c r="D50" s="25"/>
      <c r="E50" s="22"/>
      <c r="F50" s="25"/>
      <c r="G50" s="11" t="str">
        <f aca="false">IF(COUNT(C50:F50)&lt;4,"",IF(AND(E50=0,OR(C50&gt;=$C$23,D50&gt;=$C$24)),"ADD AS NEGATIVE",IF(AND(F50&gt;0,D50/F50&gt;$C$8),"ACOS &gt; BREAKEVEN","OK")))</f>
        <v/>
      </c>
    </row>
    <row r="51" customFormat="false" ht="15" hidden="false" customHeight="false" outlineLevel="0" collapsed="false">
      <c r="B51" s="9"/>
      <c r="C51" s="22"/>
      <c r="D51" s="25"/>
      <c r="E51" s="22"/>
      <c r="F51" s="25"/>
      <c r="G51" s="11" t="str">
        <f aca="false">IF(COUNT(C51:F51)&lt;4,"",IF(AND(E51=0,OR(C51&gt;=$C$23,D51&gt;=$C$24)),"ADD AS NEGATIVE",IF(AND(F51&gt;0,D51/F51&gt;$C$8),"ACOS &gt; BREAKEVEN","OK")))</f>
        <v/>
      </c>
    </row>
    <row r="52" customFormat="false" ht="15" hidden="false" customHeight="false" outlineLevel="0" collapsed="false">
      <c r="B52" s="9"/>
      <c r="C52" s="22"/>
      <c r="D52" s="25"/>
      <c r="E52" s="22"/>
      <c r="F52" s="25"/>
      <c r="G52" s="11" t="str">
        <f aca="false">IF(COUNT(C52:F52)&lt;4,"",IF(AND(E52=0,OR(C52&gt;=$C$23,D52&gt;=$C$24)),"ADD AS NEGATIVE",IF(AND(F52&gt;0,D52/F52&gt;$C$8),"ACOS &gt; BREAKEVEN","OK")))</f>
        <v/>
      </c>
    </row>
    <row r="53" customFormat="false" ht="15" hidden="false" customHeight="false" outlineLevel="0" collapsed="false">
      <c r="B53" s="9"/>
      <c r="C53" s="22"/>
      <c r="D53" s="25"/>
      <c r="E53" s="22"/>
      <c r="F53" s="25"/>
      <c r="G53" s="11" t="str">
        <f aca="false">IF(COUNT(C53:F53)&lt;4,"",IF(AND(E53=0,OR(C53&gt;=$C$23,D53&gt;=$C$24)),"ADD AS NEGATIVE",IF(AND(F53&gt;0,D53/F53&gt;$C$8),"ACOS &gt; BREAKEVEN","OK")))</f>
        <v/>
      </c>
    </row>
    <row r="54" customFormat="false" ht="15" hidden="false" customHeight="false" outlineLevel="0" collapsed="false">
      <c r="B54" s="9"/>
      <c r="C54" s="22"/>
      <c r="D54" s="25"/>
      <c r="E54" s="22"/>
      <c r="F54" s="25"/>
      <c r="G54" s="11" t="str">
        <f aca="false">IF(COUNT(C54:F54)&lt;4,"",IF(AND(E54=0,OR(C54&gt;=$C$23,D54&gt;=$C$24)),"ADD AS NEGATIVE",IF(AND(F54&gt;0,D54/F54&gt;$C$8),"ACOS &gt; BREAKEVEN","OK")))</f>
        <v/>
      </c>
    </row>
    <row r="55" customFormat="false" ht="15" hidden="false" customHeight="false" outlineLevel="0" collapsed="false">
      <c r="B55" s="9"/>
      <c r="C55" s="22"/>
      <c r="D55" s="25"/>
      <c r="E55" s="22"/>
      <c r="F55" s="25"/>
      <c r="G55" s="11" t="str">
        <f aca="false">IF(COUNT(C55:F55)&lt;4,"",IF(AND(E55=0,OR(C55&gt;=$C$23,D55&gt;=$C$24)),"ADD AS NEGATIVE",IF(AND(F55&gt;0,D55/F55&gt;$C$8),"ACOS &gt; BREAKEVEN","OK")))</f>
        <v/>
      </c>
    </row>
    <row r="56" customFormat="false" ht="15" hidden="false" customHeight="false" outlineLevel="0" collapsed="false">
      <c r="B56" s="9"/>
      <c r="C56" s="22"/>
      <c r="D56" s="25"/>
      <c r="E56" s="22"/>
      <c r="F56" s="25"/>
      <c r="G56" s="11" t="str">
        <f aca="false">IF(COUNT(C56:F56)&lt;4,"",IF(AND(E56=0,OR(C56&gt;=$C$23,D56&gt;=$C$24)),"ADD AS NEGATIVE",IF(AND(F56&gt;0,D56/F56&gt;$C$8),"ACOS &gt; BREAKEVEN","OK")))</f>
        <v/>
      </c>
    </row>
    <row r="57" customFormat="false" ht="15" hidden="false" customHeight="false" outlineLevel="0" collapsed="false">
      <c r="B57" s="9"/>
      <c r="C57" s="22"/>
      <c r="D57" s="25"/>
      <c r="E57" s="22"/>
      <c r="F57" s="25"/>
      <c r="G57" s="11" t="str">
        <f aca="false">IF(COUNT(C57:F57)&lt;4,"",IF(AND(E57=0,OR(C57&gt;=$C$23,D57&gt;=$C$24)),"ADD AS NEGATIVE",IF(AND(F57&gt;0,D57/F57&gt;$C$8),"ACOS &gt; BREAKEVEN","OK")))</f>
        <v/>
      </c>
    </row>
    <row r="58" customFormat="false" ht="15" hidden="false" customHeight="false" outlineLevel="0" collapsed="false">
      <c r="B58" s="9"/>
      <c r="C58" s="22"/>
      <c r="D58" s="25"/>
      <c r="E58" s="22"/>
      <c r="F58" s="25"/>
      <c r="G58" s="11" t="str">
        <f aca="false">IF(COUNT(C58:F58)&lt;4,"",IF(AND(E58=0,OR(C58&gt;=$C$23,D58&gt;=$C$24)),"ADD AS NEGATIVE",IF(AND(F58&gt;0,D58/F58&gt;$C$8),"ACOS &gt; BREAKEVEN","OK")))</f>
        <v/>
      </c>
    </row>
    <row r="59" customFormat="false" ht="15" hidden="false" customHeight="false" outlineLevel="0" collapsed="false">
      <c r="B59" s="9"/>
      <c r="C59" s="22"/>
      <c r="D59" s="25"/>
      <c r="E59" s="22"/>
      <c r="F59" s="25"/>
      <c r="G59" s="11" t="str">
        <f aca="false">IF(COUNT(C59:F59)&lt;4,"",IF(AND(E59=0,OR(C59&gt;=$C$23,D59&gt;=$C$24)),"ADD AS NEGATIVE",IF(AND(F59&gt;0,D59/F59&gt;$C$8),"ACOS &gt; BREAKEVEN","OK")))</f>
        <v/>
      </c>
    </row>
    <row r="60" customFormat="false" ht="15" hidden="false" customHeight="false" outlineLevel="0" collapsed="false">
      <c r="B60" s="9"/>
      <c r="C60" s="22"/>
      <c r="D60" s="25"/>
      <c r="E60" s="22"/>
      <c r="F60" s="25"/>
      <c r="G60" s="11" t="str">
        <f aca="false">IF(COUNT(C60:F60)&lt;4,"",IF(AND(E60=0,OR(C60&gt;=$C$23,D60&gt;=$C$24)),"ADD AS NEGATIVE",IF(AND(F60&gt;0,D60/F60&gt;$C$8),"ACOS &gt; BREAKEVEN","OK")))</f>
        <v/>
      </c>
    </row>
    <row r="61" customFormat="false" ht="15" hidden="false" customHeight="false" outlineLevel="0" collapsed="false">
      <c r="B61" s="9"/>
      <c r="C61" s="22"/>
      <c r="D61" s="25"/>
      <c r="E61" s="22"/>
      <c r="F61" s="25"/>
      <c r="G61" s="11" t="str">
        <f aca="false">IF(COUNT(C61:F61)&lt;4,"",IF(AND(E61=0,OR(C61&gt;=$C$23,D61&gt;=$C$24)),"ADD AS NEGATIVE",IF(AND(F61&gt;0,D61/F61&gt;$C$8),"ACOS &gt; BREAKEVEN","OK")))</f>
        <v/>
      </c>
    </row>
    <row r="62" customFormat="false" ht="15" hidden="false" customHeight="false" outlineLevel="0" collapsed="false">
      <c r="B62" s="9"/>
      <c r="C62" s="22"/>
      <c r="D62" s="25"/>
      <c r="E62" s="22"/>
      <c r="F62" s="25"/>
      <c r="G62" s="11" t="str">
        <f aca="false">IF(COUNT(C62:F62)&lt;4,"",IF(AND(E62=0,OR(C62&gt;=$C$23,D62&gt;=$C$24)),"ADD AS NEGATIVE",IF(AND(F62&gt;0,D62/F62&gt;$C$8),"ACOS &gt; BREAKEVEN","OK")))</f>
        <v/>
      </c>
    </row>
    <row r="63" customFormat="false" ht="15" hidden="false" customHeight="false" outlineLevel="0" collapsed="false">
      <c r="B63" s="9"/>
      <c r="C63" s="22"/>
      <c r="D63" s="25"/>
      <c r="E63" s="22"/>
      <c r="F63" s="25"/>
      <c r="G63" s="11" t="str">
        <f aca="false">IF(COUNT(C63:F63)&lt;4,"",IF(AND(E63=0,OR(C63&gt;=$C$23,D63&gt;=$C$24)),"ADD AS NEGATIVE",IF(AND(F63&gt;0,D63/F63&gt;$C$8),"ACOS &gt; BREAKEVEN","OK")))</f>
        <v/>
      </c>
    </row>
    <row r="64" customFormat="false" ht="15" hidden="false" customHeight="false" outlineLevel="0" collapsed="false">
      <c r="B64" s="9"/>
      <c r="C64" s="22"/>
      <c r="D64" s="25"/>
      <c r="E64" s="22"/>
      <c r="F64" s="25"/>
      <c r="G64" s="11" t="str">
        <f aca="false">IF(COUNT(C64:F64)&lt;4,"",IF(AND(E64=0,OR(C64&gt;=$C$23,D64&gt;=$C$24)),"ADD AS NEGATIVE",IF(AND(F64&gt;0,D64/F64&gt;$C$8),"ACOS &gt; BREAKEVEN","OK")))</f>
        <v/>
      </c>
    </row>
    <row r="65" customFormat="false" ht="15" hidden="false" customHeight="false" outlineLevel="0" collapsed="false">
      <c r="B65" s="9"/>
      <c r="C65" s="22"/>
      <c r="D65" s="25"/>
      <c r="E65" s="22"/>
      <c r="F65" s="25"/>
      <c r="G65" s="11" t="str">
        <f aca="false">IF(COUNT(C65:F65)&lt;4,"",IF(AND(E65=0,OR(C65&gt;=$C$23,D65&gt;=$C$24)),"ADD AS NEGATIVE",IF(AND(F65&gt;0,D65/F65&gt;$C$8),"ACOS &gt; BREAKEVEN","OK")))</f>
        <v/>
      </c>
    </row>
    <row r="66" customFormat="false" ht="15" hidden="false" customHeight="false" outlineLevel="0" collapsed="false">
      <c r="B66" s="9"/>
      <c r="C66" s="22"/>
      <c r="D66" s="25"/>
      <c r="E66" s="22"/>
      <c r="F66" s="25"/>
      <c r="G66" s="11" t="str">
        <f aca="false">IF(COUNT(C66:F66)&lt;4,"",IF(AND(E66=0,OR(C66&gt;=$C$23,D66&gt;=$C$24)),"ADD AS NEGATIVE",IF(AND(F66&gt;0,D66/F66&gt;$C$8),"ACOS &gt; BREAKEVEN","OK")))</f>
        <v/>
      </c>
    </row>
    <row r="67" customFormat="false" ht="15" hidden="false" customHeight="false" outlineLevel="0" collapsed="false">
      <c r="B67" s="9"/>
      <c r="C67" s="22"/>
      <c r="D67" s="25"/>
      <c r="E67" s="22"/>
      <c r="F67" s="25"/>
      <c r="G67" s="11" t="str">
        <f aca="false">IF(COUNT(C67:F67)&lt;4,"",IF(AND(E67=0,OR(C67&gt;=$C$23,D67&gt;=$C$24)),"ADD AS NEGATIVE",IF(AND(F67&gt;0,D67/F67&gt;$C$8),"ACOS &gt; BREAKEVEN","OK")))</f>
        <v/>
      </c>
    </row>
    <row r="68" customFormat="false" ht="15" hidden="false" customHeight="false" outlineLevel="0" collapsed="false">
      <c r="B68" s="9"/>
      <c r="C68" s="22"/>
      <c r="D68" s="25"/>
      <c r="E68" s="22"/>
      <c r="F68" s="25"/>
      <c r="G68" s="11" t="str">
        <f aca="false">IF(COUNT(C68:F68)&lt;4,"",IF(AND(E68=0,OR(C68&gt;=$C$23,D68&gt;=$C$24)),"ADD AS NEGATIVE",IF(AND(F68&gt;0,D68/F68&gt;$C$8),"ACOS &gt; BREAKEVEN","OK")))</f>
        <v/>
      </c>
    </row>
    <row r="69" customFormat="false" ht="15" hidden="false" customHeight="false" outlineLevel="0" collapsed="false">
      <c r="B69" s="9"/>
      <c r="C69" s="22"/>
      <c r="D69" s="25"/>
      <c r="E69" s="22"/>
      <c r="F69" s="25"/>
      <c r="G69" s="11" t="str">
        <f aca="false">IF(COUNT(C69:F69)&lt;4,"",IF(AND(E69=0,OR(C69&gt;=$C$23,D69&gt;=$C$24)),"ADD AS NEGATIVE",IF(AND(F69&gt;0,D69/F69&gt;$C$8),"ACOS &gt; BREAKEVEN","OK")))</f>
        <v/>
      </c>
    </row>
    <row r="70" customFormat="false" ht="15" hidden="false" customHeight="false" outlineLevel="0" collapsed="false">
      <c r="B70" s="9"/>
      <c r="C70" s="22"/>
      <c r="D70" s="25"/>
      <c r="E70" s="22"/>
      <c r="F70" s="25"/>
      <c r="G70" s="11" t="str">
        <f aca="false">IF(COUNT(C70:F70)&lt;4,"",IF(AND(E70=0,OR(C70&gt;=$C$23,D70&gt;=$C$24)),"ADD AS NEGATIVE",IF(AND(F70&gt;0,D70/F70&gt;$C$8),"ACOS &gt; BREAKEVEN","OK")))</f>
        <v/>
      </c>
    </row>
    <row r="71" customFormat="false" ht="15" hidden="false" customHeight="false" outlineLevel="0" collapsed="false">
      <c r="B71" s="9"/>
      <c r="C71" s="22"/>
      <c r="D71" s="25"/>
      <c r="E71" s="22"/>
      <c r="F71" s="25"/>
      <c r="G71" s="11" t="str">
        <f aca="false">IF(COUNT(C71:F71)&lt;4,"",IF(AND(E71=0,OR(C71&gt;=$C$23,D71&gt;=$C$24)),"ADD AS NEGATIVE",IF(AND(F71&gt;0,D71/F71&gt;$C$8),"ACOS &gt; BREAKEVEN","OK")))</f>
        <v/>
      </c>
    </row>
    <row r="72" customFormat="false" ht="15" hidden="false" customHeight="false" outlineLevel="0" collapsed="false">
      <c r="B72" s="9"/>
      <c r="C72" s="22"/>
      <c r="D72" s="25"/>
      <c r="E72" s="22"/>
      <c r="F72" s="25"/>
      <c r="G72" s="11" t="str">
        <f aca="false">IF(COUNT(C72:F72)&lt;4,"",IF(AND(E72=0,OR(C72&gt;=$C$23,D72&gt;=$C$24)),"ADD AS NEGATIVE",IF(AND(F72&gt;0,D72/F72&gt;$C$8),"ACOS &gt; BREAKEVEN","OK")))</f>
        <v/>
      </c>
    </row>
    <row r="73" customFormat="false" ht="15" hidden="false" customHeight="false" outlineLevel="0" collapsed="false">
      <c r="B73" s="9"/>
      <c r="C73" s="22"/>
      <c r="D73" s="25"/>
      <c r="E73" s="22"/>
      <c r="F73" s="25"/>
      <c r="G73" s="11" t="str">
        <f aca="false">IF(COUNT(C73:F73)&lt;4,"",IF(AND(E73=0,OR(C73&gt;=$C$23,D73&gt;=$C$24)),"ADD AS NEGATIVE",IF(AND(F73&gt;0,D73/F73&gt;$C$8),"ACOS &gt; BREAKEVEN","OK")))</f>
        <v/>
      </c>
    </row>
    <row r="74" customFormat="false" ht="15" hidden="false" customHeight="false" outlineLevel="0" collapsed="false">
      <c r="B74" s="9"/>
      <c r="C74" s="22"/>
      <c r="D74" s="25"/>
      <c r="E74" s="22"/>
      <c r="F74" s="25"/>
      <c r="G74" s="11" t="str">
        <f aca="false">IF(COUNT(C74:F74)&lt;4,"",IF(AND(E74=0,OR(C74&gt;=$C$23,D74&gt;=$C$24)),"ADD AS NEGATIVE",IF(AND(F74&gt;0,D74/F74&gt;$C$8),"ACOS &gt; BREAKEVEN","OK")))</f>
        <v/>
      </c>
    </row>
    <row r="75" customFormat="false" ht="15" hidden="false" customHeight="false" outlineLevel="0" collapsed="false">
      <c r="B75" s="9"/>
      <c r="C75" s="22"/>
      <c r="D75" s="25"/>
      <c r="E75" s="22"/>
      <c r="F75" s="25"/>
      <c r="G75" s="11" t="str">
        <f aca="false">IF(COUNT(C75:F75)&lt;4,"",IF(AND(E75=0,OR(C75&gt;=$C$23,D75&gt;=$C$24)),"ADD AS NEGATIVE",IF(AND(F75&gt;0,D75/F75&gt;$C$8),"ACOS &gt; BREAKEVEN","OK")))</f>
        <v/>
      </c>
    </row>
    <row r="76" customFormat="false" ht="15" hidden="false" customHeight="false" outlineLevel="0" collapsed="false">
      <c r="B76" s="9"/>
      <c r="C76" s="22"/>
      <c r="D76" s="25"/>
      <c r="E76" s="22"/>
      <c r="F76" s="25"/>
      <c r="G76" s="11" t="str">
        <f aca="false">IF(COUNT(C76:F76)&lt;4,"",IF(AND(E76=0,OR(C76&gt;=$C$23,D76&gt;=$C$24)),"ADD AS NEGATIVE",IF(AND(F76&gt;0,D76/F76&gt;$C$8),"ACOS &gt; BREAKEVEN","OK")))</f>
        <v/>
      </c>
    </row>
    <row r="77" customFormat="false" ht="15" hidden="false" customHeight="false" outlineLevel="0" collapsed="false">
      <c r="B77" s="9"/>
      <c r="C77" s="22"/>
      <c r="D77" s="25"/>
      <c r="E77" s="22"/>
      <c r="F77" s="25"/>
      <c r="G77" s="11" t="str">
        <f aca="false">IF(COUNT(C77:F77)&lt;4,"",IF(AND(E77=0,OR(C77&gt;=$C$23,D77&gt;=$C$24)),"ADD AS NEGATIVE",IF(AND(F77&gt;0,D77/F77&gt;$C$8),"ACOS &gt; BREAKEVEN","OK")))</f>
        <v/>
      </c>
    </row>
    <row r="78" customFormat="false" ht="15" hidden="false" customHeight="false" outlineLevel="0" collapsed="false">
      <c r="B78" s="9"/>
      <c r="C78" s="22"/>
      <c r="D78" s="25"/>
      <c r="E78" s="22"/>
      <c r="F78" s="25"/>
      <c r="G78" s="11" t="str">
        <f aca="false">IF(COUNT(C78:F78)&lt;4,"",IF(AND(E78=0,OR(C78&gt;=$C$23,D78&gt;=$C$24)),"ADD AS NEGATIVE",IF(AND(F78&gt;0,D78/F78&gt;$C$8),"ACOS &gt; BREAKEVEN","OK")))</f>
        <v/>
      </c>
    </row>
    <row r="79" customFormat="false" ht="15" hidden="false" customHeight="false" outlineLevel="0" collapsed="false">
      <c r="B79" s="9"/>
      <c r="C79" s="22"/>
      <c r="D79" s="25"/>
      <c r="E79" s="22"/>
      <c r="F79" s="25"/>
      <c r="G79" s="11" t="str">
        <f aca="false">IF(COUNT(C79:F79)&lt;4,"",IF(AND(E79=0,OR(C79&gt;=$C$23,D79&gt;=$C$24)),"ADD AS NEGATIVE",IF(AND(F79&gt;0,D79/F79&gt;$C$8),"ACOS &gt; BREAKEVEN","OK")))</f>
        <v/>
      </c>
    </row>
    <row r="80" customFormat="false" ht="15" hidden="false" customHeight="false" outlineLevel="0" collapsed="false">
      <c r="B80" s="9"/>
      <c r="C80" s="22"/>
      <c r="D80" s="25"/>
      <c r="E80" s="22"/>
      <c r="F80" s="25"/>
      <c r="G80" s="11" t="str">
        <f aca="false">IF(COUNT(C80:F80)&lt;4,"",IF(AND(E80=0,OR(C80&gt;=$C$23,D80&gt;=$C$24)),"ADD AS NEGATIVE",IF(AND(F80&gt;0,D80/F80&gt;$C$8),"ACOS &gt; BREAKEVEN","OK")))</f>
        <v/>
      </c>
    </row>
    <row r="81" customFormat="false" ht="15" hidden="false" customHeight="false" outlineLevel="0" collapsed="false">
      <c r="B81" s="9"/>
      <c r="C81" s="22"/>
      <c r="D81" s="25"/>
      <c r="E81" s="22"/>
      <c r="F81" s="25"/>
      <c r="G81" s="11" t="str">
        <f aca="false">IF(COUNT(C81:F81)&lt;4,"",IF(AND(E81=0,OR(C81&gt;=$C$23,D81&gt;=$C$24)),"ADD AS NEGATIVE",IF(AND(F81&gt;0,D81/F81&gt;$C$8),"ACOS &gt; BREAKEVEN","OK")))</f>
        <v/>
      </c>
    </row>
    <row r="82" customFormat="false" ht="15" hidden="false" customHeight="false" outlineLevel="0" collapsed="false">
      <c r="B82" s="9"/>
      <c r="C82" s="22"/>
      <c r="D82" s="25"/>
      <c r="E82" s="22"/>
      <c r="F82" s="25"/>
      <c r="G82" s="11" t="str">
        <f aca="false">IF(COUNT(C82:F82)&lt;4,"",IF(AND(E82=0,OR(C82&gt;=$C$23,D82&gt;=$C$24)),"ADD AS NEGATIVE",IF(AND(F82&gt;0,D82/F82&gt;$C$8),"ACOS &gt; BREAKEVEN","OK")))</f>
        <v/>
      </c>
    </row>
    <row r="83" customFormat="false" ht="15" hidden="false" customHeight="false" outlineLevel="0" collapsed="false">
      <c r="B83" s="9"/>
      <c r="C83" s="22"/>
      <c r="D83" s="25"/>
      <c r="E83" s="22"/>
      <c r="F83" s="25"/>
      <c r="G83" s="11" t="str">
        <f aca="false">IF(COUNT(C83:F83)&lt;4,"",IF(AND(E83=0,OR(C83&gt;=$C$23,D83&gt;=$C$24)),"ADD AS NEGATIVE",IF(AND(F83&gt;0,D83/F83&gt;$C$8),"ACOS &gt; BREAKEVEN","OK")))</f>
        <v/>
      </c>
    </row>
    <row r="84" customFormat="false" ht="15" hidden="false" customHeight="false" outlineLevel="0" collapsed="false">
      <c r="B84" s="9"/>
      <c r="C84" s="22"/>
      <c r="D84" s="25"/>
      <c r="E84" s="22"/>
      <c r="F84" s="25"/>
      <c r="G84" s="11" t="str">
        <f aca="false">IF(COUNT(C84:F84)&lt;4,"",IF(AND(E84=0,OR(C84&gt;=$C$23,D84&gt;=$C$24)),"ADD AS NEGATIVE",IF(AND(F84&gt;0,D84/F84&gt;$C$8),"ACOS &gt; BREAKEVEN","OK")))</f>
        <v/>
      </c>
    </row>
    <row r="85" customFormat="false" ht="15" hidden="false" customHeight="false" outlineLevel="0" collapsed="false">
      <c r="B85" s="9"/>
      <c r="C85" s="22"/>
      <c r="D85" s="25"/>
      <c r="E85" s="22"/>
      <c r="F85" s="25"/>
      <c r="G85" s="11" t="str">
        <f aca="false">IF(COUNT(C85:F85)&lt;4,"",IF(AND(E85=0,OR(C85&gt;=$C$23,D85&gt;=$C$24)),"ADD AS NEGATIVE",IF(AND(F85&gt;0,D85/F85&gt;$C$8),"ACOS &gt; BREAKEVEN","OK")))</f>
        <v/>
      </c>
    </row>
    <row r="86" customFormat="false" ht="15" hidden="false" customHeight="false" outlineLevel="0" collapsed="false">
      <c r="B86" s="9"/>
      <c r="C86" s="22"/>
      <c r="D86" s="25"/>
      <c r="E86" s="22"/>
      <c r="F86" s="25"/>
      <c r="G86" s="11" t="str">
        <f aca="false">IF(COUNT(C86:F86)&lt;4,"",IF(AND(E86=0,OR(C86&gt;=$C$23,D86&gt;=$C$24)),"ADD AS NEGATIVE",IF(AND(F86&gt;0,D86/F86&gt;$C$8),"ACOS &gt; BREAKEVEN","OK")))</f>
        <v/>
      </c>
    </row>
    <row r="87" customFormat="false" ht="15" hidden="false" customHeight="false" outlineLevel="0" collapsed="false">
      <c r="B87" s="9"/>
      <c r="C87" s="22"/>
      <c r="D87" s="25"/>
      <c r="E87" s="22"/>
      <c r="F87" s="25"/>
      <c r="G87" s="11" t="str">
        <f aca="false">IF(COUNT(C87:F87)&lt;4,"",IF(AND(E87=0,OR(C87&gt;=$C$23,D87&gt;=$C$24)),"ADD AS NEGATIVE",IF(AND(F87&gt;0,D87/F87&gt;$C$8),"ACOS &gt; BREAKEVEN","OK")))</f>
        <v/>
      </c>
    </row>
    <row r="88" customFormat="false" ht="15" hidden="false" customHeight="false" outlineLevel="0" collapsed="false">
      <c r="B88" s="9"/>
      <c r="C88" s="22"/>
      <c r="D88" s="25"/>
      <c r="E88" s="22"/>
      <c r="F88" s="25"/>
      <c r="G88" s="11" t="str">
        <f aca="false">IF(COUNT(C88:F88)&lt;4,"",IF(AND(E88=0,OR(C88&gt;=$C$23,D88&gt;=$C$24)),"ADD AS NEGATIVE",IF(AND(F88&gt;0,D88/F88&gt;$C$8),"ACOS &gt; BREAKEVEN","OK")))</f>
        <v/>
      </c>
    </row>
    <row r="89" customFormat="false" ht="15" hidden="false" customHeight="false" outlineLevel="0" collapsed="false">
      <c r="B89" s="9"/>
      <c r="C89" s="22"/>
      <c r="D89" s="25"/>
      <c r="E89" s="22"/>
      <c r="F89" s="25"/>
      <c r="G89" s="11" t="str">
        <f aca="false">IF(COUNT(C89:F89)&lt;4,"",IF(AND(E89=0,OR(C89&gt;=$C$23,D89&gt;=$C$24)),"ADD AS NEGATIVE",IF(AND(F89&gt;0,D89/F89&gt;$C$8),"ACOS &gt; BREAKEVEN","OK")))</f>
        <v/>
      </c>
    </row>
    <row r="90" customFormat="false" ht="15" hidden="false" customHeight="false" outlineLevel="0" collapsed="false">
      <c r="B90" s="9"/>
      <c r="C90" s="22"/>
      <c r="D90" s="25"/>
      <c r="E90" s="22"/>
      <c r="F90" s="25"/>
      <c r="G90" s="11" t="str">
        <f aca="false">IF(COUNT(C90:F90)&lt;4,"",IF(AND(E90=0,OR(C90&gt;=$C$23,D90&gt;=$C$24)),"ADD AS NEGATIVE",IF(AND(F90&gt;0,D90/F90&gt;$C$8),"ACOS &gt; BREAKEVEN","OK")))</f>
        <v/>
      </c>
    </row>
    <row r="91" customFormat="false" ht="15" hidden="false" customHeight="false" outlineLevel="0" collapsed="false">
      <c r="B91" s="9"/>
      <c r="C91" s="22"/>
      <c r="D91" s="25"/>
      <c r="E91" s="22"/>
      <c r="F91" s="25"/>
      <c r="G91" s="11" t="str">
        <f aca="false">IF(COUNT(C91:F91)&lt;4,"",IF(AND(E91=0,OR(C91&gt;=$C$23,D91&gt;=$C$24)),"ADD AS NEGATIVE",IF(AND(F91&gt;0,D91/F91&gt;$C$8),"ACOS &gt; BREAKEVEN","OK")))</f>
        <v/>
      </c>
    </row>
    <row r="92" customFormat="false" ht="15" hidden="false" customHeight="false" outlineLevel="0" collapsed="false">
      <c r="B92" s="9"/>
      <c r="C92" s="22"/>
      <c r="D92" s="25"/>
      <c r="E92" s="22"/>
      <c r="F92" s="25"/>
      <c r="G92" s="11" t="str">
        <f aca="false">IF(COUNT(C92:F92)&lt;4,"",IF(AND(E92=0,OR(C92&gt;=$C$23,D92&gt;=$C$24)),"ADD AS NEGATIVE",IF(AND(F92&gt;0,D92/F92&gt;$C$8),"ACOS &gt; BREAKEVEN","OK")))</f>
        <v/>
      </c>
    </row>
    <row r="93" customFormat="false" ht="15" hidden="false" customHeight="false" outlineLevel="0" collapsed="false">
      <c r="B93" s="9"/>
      <c r="C93" s="22"/>
      <c r="D93" s="25"/>
      <c r="E93" s="22"/>
      <c r="F93" s="25"/>
      <c r="G93" s="11" t="str">
        <f aca="false">IF(COUNT(C93:F93)&lt;4,"",IF(AND(E93=0,OR(C93&gt;=$C$23,D93&gt;=$C$24)),"ADD AS NEGATIVE",IF(AND(F93&gt;0,D93/F93&gt;$C$8),"ACOS &gt; BREAKEVEN","OK")))</f>
        <v/>
      </c>
    </row>
    <row r="94" customFormat="false" ht="15" hidden="false" customHeight="false" outlineLevel="0" collapsed="false">
      <c r="B94" s="9"/>
      <c r="C94" s="22"/>
      <c r="D94" s="25"/>
      <c r="E94" s="22"/>
      <c r="F94" s="25"/>
      <c r="G94" s="11" t="str">
        <f aca="false">IF(COUNT(C94:F94)&lt;4,"",IF(AND(E94=0,OR(C94&gt;=$C$23,D94&gt;=$C$24)),"ADD AS NEGATIVE",IF(AND(F94&gt;0,D94/F94&gt;$C$8),"ACOS &gt; BREAKEVEN","OK")))</f>
        <v/>
      </c>
    </row>
    <row r="95" customFormat="false" ht="15" hidden="false" customHeight="false" outlineLevel="0" collapsed="false">
      <c r="B95" s="9"/>
      <c r="C95" s="22"/>
      <c r="D95" s="25"/>
      <c r="E95" s="22"/>
      <c r="F95" s="25"/>
      <c r="G95" s="11" t="str">
        <f aca="false">IF(COUNT(C95:F95)&lt;4,"",IF(AND(E95=0,OR(C95&gt;=$C$23,D95&gt;=$C$24)),"ADD AS NEGATIVE",IF(AND(F95&gt;0,D95/F95&gt;$C$8),"ACOS &gt; BREAKEVEN","OK")))</f>
        <v/>
      </c>
    </row>
    <row r="96" customFormat="false" ht="15" hidden="false" customHeight="false" outlineLevel="0" collapsed="false">
      <c r="B96" s="9"/>
      <c r="C96" s="22"/>
      <c r="D96" s="25"/>
      <c r="E96" s="22"/>
      <c r="F96" s="25"/>
      <c r="G96" s="11" t="str">
        <f aca="false">IF(COUNT(C96:F96)&lt;4,"",IF(AND(E96=0,OR(C96&gt;=$C$23,D96&gt;=$C$24)),"ADD AS NEGATIVE",IF(AND(F96&gt;0,D96/F96&gt;$C$8),"ACOS &gt; BREAKEVEN","OK")))</f>
        <v/>
      </c>
    </row>
    <row r="97" customFormat="false" ht="15" hidden="false" customHeight="false" outlineLevel="0" collapsed="false">
      <c r="B97" s="9"/>
      <c r="C97" s="22"/>
      <c r="D97" s="25"/>
      <c r="E97" s="22"/>
      <c r="F97" s="25"/>
      <c r="G97" s="11" t="str">
        <f aca="false">IF(COUNT(C97:F97)&lt;4,"",IF(AND(E97=0,OR(C97&gt;=$C$23,D97&gt;=$C$24)),"ADD AS NEGATIVE",IF(AND(F97&gt;0,D97/F97&gt;$C$8),"ACOS &gt; BREAKEVEN","OK")))</f>
        <v/>
      </c>
    </row>
    <row r="98" customFormat="false" ht="15" hidden="false" customHeight="false" outlineLevel="0" collapsed="false">
      <c r="B98" s="9"/>
      <c r="C98" s="22"/>
      <c r="D98" s="25"/>
      <c r="E98" s="22"/>
      <c r="F98" s="25"/>
      <c r="G98" s="11" t="str">
        <f aca="false">IF(COUNT(C98:F98)&lt;4,"",IF(AND(E98=0,OR(C98&gt;=$C$23,D98&gt;=$C$24)),"ADD AS NEGATIVE",IF(AND(F98&gt;0,D98/F98&gt;$C$8),"ACOS &gt; BREAKEVEN","OK")))</f>
        <v/>
      </c>
    </row>
    <row r="99" customFormat="false" ht="15" hidden="false" customHeight="false" outlineLevel="0" collapsed="false">
      <c r="B99" s="9"/>
      <c r="C99" s="22"/>
      <c r="D99" s="25"/>
      <c r="E99" s="22"/>
      <c r="F99" s="25"/>
      <c r="G99" s="11" t="str">
        <f aca="false">IF(COUNT(C99:F99)&lt;4,"",IF(AND(E99=0,OR(C99&gt;=$C$23,D99&gt;=$C$24)),"ADD AS NEGATIVE",IF(AND(F99&gt;0,D99/F99&gt;$C$8),"ACOS &gt; BREAKEVEN","OK")))</f>
        <v/>
      </c>
    </row>
    <row r="100" customFormat="false" ht="15" hidden="false" customHeight="false" outlineLevel="0" collapsed="false">
      <c r="B100" s="9"/>
      <c r="C100" s="22"/>
      <c r="D100" s="25"/>
      <c r="E100" s="22"/>
      <c r="F100" s="25"/>
      <c r="G100" s="11" t="str">
        <f aca="false">IF(COUNT(C100:F100)&lt;4,"",IF(AND(E100=0,OR(C100&gt;=$C$23,D100&gt;=$C$24)),"ADD AS NEGATIVE",IF(AND(F100&gt;0,D100/F100&gt;$C$8),"ACOS &gt; BREAKEVEN","OK")))</f>
        <v/>
      </c>
    </row>
    <row r="101" customFormat="false" ht="15" hidden="false" customHeight="false" outlineLevel="0" collapsed="false">
      <c r="B101" s="9"/>
      <c r="C101" s="22"/>
      <c r="D101" s="25"/>
      <c r="E101" s="22"/>
      <c r="F101" s="25"/>
      <c r="G101" s="11" t="str">
        <f aca="false">IF(COUNT(C101:F101)&lt;4,"",IF(AND(E101=0,OR(C101&gt;=$C$23,D101&gt;=$C$24)),"ADD AS NEGATIVE",IF(AND(F101&gt;0,D101/F101&gt;$C$8),"ACOS &gt; BREAKEVEN","OK")))</f>
        <v/>
      </c>
    </row>
    <row r="102" customFormat="false" ht="15" hidden="false" customHeight="false" outlineLevel="0" collapsed="false">
      <c r="B102" s="9"/>
      <c r="C102" s="22"/>
      <c r="D102" s="25"/>
      <c r="E102" s="22"/>
      <c r="F102" s="25"/>
      <c r="G102" s="11" t="str">
        <f aca="false">IF(COUNT(C102:F102)&lt;4,"",IF(AND(E102=0,OR(C102&gt;=$C$23,D102&gt;=$C$24)),"ADD AS NEGATIVE",IF(AND(F102&gt;0,D102/F102&gt;$C$8),"ACOS &gt; BREAKEVEN","OK")))</f>
        <v/>
      </c>
    </row>
    <row r="103" customFormat="false" ht="15" hidden="false" customHeight="false" outlineLevel="0" collapsed="false">
      <c r="B103" s="9"/>
      <c r="C103" s="22"/>
      <c r="D103" s="25"/>
      <c r="E103" s="22"/>
      <c r="F103" s="25"/>
      <c r="G103" s="11" t="str">
        <f aca="false">IF(COUNT(C103:F103)&lt;4,"",IF(AND(E103=0,OR(C103&gt;=$C$23,D103&gt;=$C$24)),"ADD AS NEGATIVE",IF(AND(F103&gt;0,D103/F103&gt;$C$8),"ACOS &gt; BREAKEVEN","OK")))</f>
        <v/>
      </c>
    </row>
    <row r="104" customFormat="false" ht="15" hidden="false" customHeight="false" outlineLevel="0" collapsed="false">
      <c r="B104" s="9"/>
      <c r="C104" s="22"/>
      <c r="D104" s="25"/>
      <c r="E104" s="22"/>
      <c r="F104" s="25"/>
      <c r="G104" s="11" t="str">
        <f aca="false">IF(COUNT(C104:F104)&lt;4,"",IF(AND(E104=0,OR(C104&gt;=$C$23,D104&gt;=$C$24)),"ADD AS NEGATIVE",IF(AND(F104&gt;0,D104/F104&gt;$C$8),"ACOS &gt; BREAKEVEN","OK")))</f>
        <v/>
      </c>
    </row>
    <row r="105" customFormat="false" ht="15" hidden="false" customHeight="false" outlineLevel="0" collapsed="false">
      <c r="B105" s="9"/>
      <c r="C105" s="22"/>
      <c r="D105" s="25"/>
      <c r="E105" s="22"/>
      <c r="F105" s="25"/>
      <c r="G105" s="11" t="str">
        <f aca="false">IF(COUNT(C105:F105)&lt;4,"",IF(AND(E105=0,OR(C105&gt;=$C$23,D105&gt;=$C$24)),"ADD AS NEGATIVE",IF(AND(F105&gt;0,D105/F105&gt;$C$8),"ACOS &gt; BREAKEVEN","OK")))</f>
        <v/>
      </c>
    </row>
    <row r="106" customFormat="false" ht="15" hidden="false" customHeight="false" outlineLevel="0" collapsed="false">
      <c r="B106" s="9"/>
      <c r="C106" s="22"/>
      <c r="D106" s="25"/>
      <c r="E106" s="22"/>
      <c r="F106" s="25"/>
      <c r="G106" s="11" t="str">
        <f aca="false">IF(COUNT(C106:F106)&lt;4,"",IF(AND(E106=0,OR(C106&gt;=$C$23,D106&gt;=$C$24)),"ADD AS NEGATIVE",IF(AND(F106&gt;0,D106/F106&gt;$C$8),"ACOS &gt; BREAKEVEN","OK")))</f>
        <v/>
      </c>
    </row>
    <row r="107" customFormat="false" ht="15" hidden="false" customHeight="false" outlineLevel="0" collapsed="false">
      <c r="B107" s="9"/>
      <c r="C107" s="22"/>
      <c r="D107" s="25"/>
      <c r="E107" s="22"/>
      <c r="F107" s="25"/>
      <c r="G107" s="11" t="str">
        <f aca="false">IF(COUNT(C107:F107)&lt;4,"",IF(AND(E107=0,OR(C107&gt;=$C$23,D107&gt;=$C$24)),"ADD AS NEGATIVE",IF(AND(F107&gt;0,D107/F107&gt;$C$8),"ACOS &gt; BREAKEVEN","OK")))</f>
        <v/>
      </c>
    </row>
    <row r="108" customFormat="false" ht="15" hidden="false" customHeight="false" outlineLevel="0" collapsed="false">
      <c r="B108" s="9"/>
      <c r="C108" s="22"/>
      <c r="D108" s="25"/>
      <c r="E108" s="22"/>
      <c r="F108" s="25"/>
      <c r="G108" s="11" t="str">
        <f aca="false">IF(COUNT(C108:F108)&lt;4,"",IF(AND(E108=0,OR(C108&gt;=$C$23,D108&gt;=$C$24)),"ADD AS NEGATIVE",IF(AND(F108&gt;0,D108/F108&gt;$C$8),"ACOS &gt; BREAKEVEN","OK")))</f>
        <v/>
      </c>
    </row>
    <row r="109" customFormat="false" ht="15" hidden="false" customHeight="false" outlineLevel="0" collapsed="false">
      <c r="B109" s="9"/>
      <c r="C109" s="22"/>
      <c r="D109" s="25"/>
      <c r="E109" s="22"/>
      <c r="F109" s="25"/>
      <c r="G109" s="11" t="str">
        <f aca="false">IF(COUNT(C109:F109)&lt;4,"",IF(AND(E109=0,OR(C109&gt;=$C$23,D109&gt;=$C$24)),"ADD AS NEGATIVE",IF(AND(F109&gt;0,D109/F109&gt;$C$8),"ACOS &gt; BREAKEVEN","OK")))</f>
        <v/>
      </c>
    </row>
    <row r="110" customFormat="false" ht="15" hidden="false" customHeight="false" outlineLevel="0" collapsed="false">
      <c r="B110" s="9"/>
      <c r="C110" s="22"/>
      <c r="D110" s="25"/>
      <c r="E110" s="22"/>
      <c r="F110" s="25"/>
      <c r="G110" s="11" t="str">
        <f aca="false">IF(COUNT(C110:F110)&lt;4,"",IF(AND(E110=0,OR(C110&gt;=$C$23,D110&gt;=$C$24)),"ADD AS NEGATIVE",IF(AND(F110&gt;0,D110/F110&gt;$C$8),"ACOS &gt; BREAKEVEN","OK")))</f>
        <v/>
      </c>
    </row>
    <row r="111" customFormat="false" ht="15" hidden="false" customHeight="false" outlineLevel="0" collapsed="false">
      <c r="B111" s="9"/>
      <c r="C111" s="22"/>
      <c r="D111" s="25"/>
      <c r="E111" s="22"/>
      <c r="F111" s="25"/>
      <c r="G111" s="11" t="str">
        <f aca="false">IF(COUNT(C111:F111)&lt;4,"",IF(AND(E111=0,OR(C111&gt;=$C$23,D111&gt;=$C$24)),"ADD AS NEGATIVE",IF(AND(F111&gt;0,D111/F111&gt;$C$8),"ACOS &gt; BREAKEVEN","OK")))</f>
        <v/>
      </c>
    </row>
    <row r="112" customFormat="false" ht="15" hidden="false" customHeight="false" outlineLevel="0" collapsed="false">
      <c r="B112" s="9"/>
      <c r="C112" s="22"/>
      <c r="D112" s="25"/>
      <c r="E112" s="22"/>
      <c r="F112" s="25"/>
      <c r="G112" s="11" t="str">
        <f aca="false">IF(COUNT(C112:F112)&lt;4,"",IF(AND(E112=0,OR(C112&gt;=$C$23,D112&gt;=$C$24)),"ADD AS NEGATIVE",IF(AND(F112&gt;0,D112/F112&gt;$C$8),"ACOS &gt; BREAKEVEN","OK")))</f>
        <v/>
      </c>
    </row>
    <row r="113" customFormat="false" ht="15" hidden="false" customHeight="false" outlineLevel="0" collapsed="false">
      <c r="B113" s="9"/>
      <c r="C113" s="22"/>
      <c r="D113" s="25"/>
      <c r="E113" s="22"/>
      <c r="F113" s="25"/>
      <c r="G113" s="11" t="str">
        <f aca="false">IF(COUNT(C113:F113)&lt;4,"",IF(AND(E113=0,OR(C113&gt;=$C$23,D113&gt;=$C$24)),"ADD AS NEGATIVE",IF(AND(F113&gt;0,D113/F113&gt;$C$8),"ACOS &gt; BREAKEVEN","OK")))</f>
        <v/>
      </c>
    </row>
    <row r="114" customFormat="false" ht="15" hidden="false" customHeight="false" outlineLevel="0" collapsed="false">
      <c r="B114" s="9"/>
      <c r="C114" s="22"/>
      <c r="D114" s="25"/>
      <c r="E114" s="22"/>
      <c r="F114" s="25"/>
      <c r="G114" s="11" t="str">
        <f aca="false">IF(COUNT(C114:F114)&lt;4,"",IF(AND(E114=0,OR(C114&gt;=$C$23,D114&gt;=$C$24)),"ADD AS NEGATIVE",IF(AND(F114&gt;0,D114/F114&gt;$C$8),"ACOS &gt; BREAKEVEN","OK")))</f>
        <v/>
      </c>
    </row>
    <row r="115" customFormat="false" ht="15" hidden="false" customHeight="false" outlineLevel="0" collapsed="false">
      <c r="B115" s="9"/>
      <c r="C115" s="22"/>
      <c r="D115" s="25"/>
      <c r="E115" s="22"/>
      <c r="F115" s="25"/>
      <c r="G115" s="11" t="str">
        <f aca="false">IF(COUNT(C115:F115)&lt;4,"",IF(AND(E115=0,OR(C115&gt;=$C$23,D115&gt;=$C$24)),"ADD AS NEGATIVE",IF(AND(F115&gt;0,D115/F115&gt;$C$8),"ACOS &gt; BREAKEVEN","OK")))</f>
        <v/>
      </c>
    </row>
    <row r="116" customFormat="false" ht="15" hidden="false" customHeight="false" outlineLevel="0" collapsed="false">
      <c r="B116" s="9"/>
      <c r="C116" s="22"/>
      <c r="D116" s="25"/>
      <c r="E116" s="22"/>
      <c r="F116" s="25"/>
      <c r="G116" s="11" t="str">
        <f aca="false">IF(COUNT(C116:F116)&lt;4,"",IF(AND(E116=0,OR(C116&gt;=$C$23,D116&gt;=$C$24)),"ADD AS NEGATIVE",IF(AND(F116&gt;0,D116/F116&gt;$C$8),"ACOS &gt; BREAKEVEN","OK")))</f>
        <v/>
      </c>
    </row>
    <row r="117" customFormat="false" ht="15" hidden="false" customHeight="false" outlineLevel="0" collapsed="false">
      <c r="B117" s="9"/>
      <c r="C117" s="22"/>
      <c r="D117" s="25"/>
      <c r="E117" s="22"/>
      <c r="F117" s="25"/>
      <c r="G117" s="11" t="str">
        <f aca="false">IF(COUNT(C117:F117)&lt;4,"",IF(AND(E117=0,OR(C117&gt;=$C$23,D117&gt;=$C$24)),"ADD AS NEGATIVE",IF(AND(F117&gt;0,D117/F117&gt;$C$8),"ACOS &gt; BREAKEVEN","OK")))</f>
        <v/>
      </c>
    </row>
    <row r="118" customFormat="false" ht="15" hidden="false" customHeight="false" outlineLevel="0" collapsed="false">
      <c r="B118" s="9"/>
      <c r="C118" s="22"/>
      <c r="D118" s="25"/>
      <c r="E118" s="22"/>
      <c r="F118" s="25"/>
      <c r="G118" s="11" t="str">
        <f aca="false">IF(COUNT(C118:F118)&lt;4,"",IF(AND(E118=0,OR(C118&gt;=$C$23,D118&gt;=$C$24)),"ADD AS NEGATIVE",IF(AND(F118&gt;0,D118/F118&gt;$C$8),"ACOS &gt; BREAKEVEN","OK")))</f>
        <v/>
      </c>
    </row>
    <row r="119" customFormat="false" ht="15" hidden="false" customHeight="false" outlineLevel="0" collapsed="false">
      <c r="B119" s="9"/>
      <c r="C119" s="22"/>
      <c r="D119" s="25"/>
      <c r="E119" s="22"/>
      <c r="F119" s="25"/>
      <c r="G119" s="11" t="str">
        <f aca="false">IF(COUNT(C119:F119)&lt;4,"",IF(AND(E119=0,OR(C119&gt;=$C$23,D119&gt;=$C$24)),"ADD AS NEGATIVE",IF(AND(F119&gt;0,D119/F119&gt;$C$8),"ACOS &gt; BREAKEVEN","OK")))</f>
        <v/>
      </c>
    </row>
    <row r="120" customFormat="false" ht="15" hidden="false" customHeight="false" outlineLevel="0" collapsed="false">
      <c r="B120" s="9"/>
      <c r="C120" s="22"/>
      <c r="D120" s="25"/>
      <c r="E120" s="22"/>
      <c r="F120" s="25"/>
      <c r="G120" s="11" t="str">
        <f aca="false">IF(COUNT(C120:F120)&lt;4,"",IF(AND(E120=0,OR(C120&gt;=$C$23,D120&gt;=$C$24)),"ADD AS NEGATIVE",IF(AND(F120&gt;0,D120/F120&gt;$C$8),"ACOS &gt; BREAKEVEN","OK")))</f>
        <v/>
      </c>
    </row>
    <row r="121" customFormat="false" ht="15" hidden="false" customHeight="false" outlineLevel="0" collapsed="false">
      <c r="B121" s="9"/>
      <c r="C121" s="22"/>
      <c r="D121" s="25"/>
      <c r="E121" s="22"/>
      <c r="F121" s="25"/>
      <c r="G121" s="11" t="str">
        <f aca="false">IF(COUNT(C121:F121)&lt;4,"",IF(AND(E121=0,OR(C121&gt;=$C$23,D121&gt;=$C$24)),"ADD AS NEGATIVE",IF(AND(F121&gt;0,D121/F121&gt;$C$8),"ACOS &gt; BREAKEVEN","OK")))</f>
        <v/>
      </c>
    </row>
    <row r="122" customFormat="false" ht="15" hidden="false" customHeight="false" outlineLevel="0" collapsed="false">
      <c r="B122" s="9"/>
      <c r="C122" s="22"/>
      <c r="D122" s="25"/>
      <c r="E122" s="22"/>
      <c r="F122" s="25"/>
      <c r="G122" s="11" t="str">
        <f aca="false">IF(COUNT(C122:F122)&lt;4,"",IF(AND(E122=0,OR(C122&gt;=$C$23,D122&gt;=$C$24)),"ADD AS NEGATIVE",IF(AND(F122&gt;0,D122/F122&gt;$C$8),"ACOS &gt; BREAKEVEN","OK")))</f>
        <v/>
      </c>
    </row>
    <row r="123" customFormat="false" ht="15" hidden="false" customHeight="false" outlineLevel="0" collapsed="false">
      <c r="B123" s="9"/>
      <c r="C123" s="22"/>
      <c r="D123" s="25"/>
      <c r="E123" s="22"/>
      <c r="F123" s="25"/>
      <c r="G123" s="11" t="str">
        <f aca="false">IF(COUNT(C123:F123)&lt;4,"",IF(AND(E123=0,OR(C123&gt;=$C$23,D123&gt;=$C$24)),"ADD AS NEGATIVE",IF(AND(F123&gt;0,D123/F123&gt;$C$8),"ACOS &gt; BREAKEVEN","OK")))</f>
        <v/>
      </c>
    </row>
    <row r="124" customFormat="false" ht="15" hidden="false" customHeight="false" outlineLevel="0" collapsed="false">
      <c r="B124" s="9"/>
      <c r="C124" s="22"/>
      <c r="D124" s="25"/>
      <c r="E124" s="22"/>
      <c r="F124" s="25"/>
      <c r="G124" s="11" t="str">
        <f aca="false">IF(COUNT(C124:F124)&lt;4,"",IF(AND(E124=0,OR(C124&gt;=$C$23,D124&gt;=$C$24)),"ADD AS NEGATIVE",IF(AND(F124&gt;0,D124/F124&gt;$C$8),"ACOS &gt; BREAKEVEN","OK")))</f>
        <v/>
      </c>
    </row>
    <row r="125" customFormat="false" ht="15" hidden="false" customHeight="false" outlineLevel="0" collapsed="false">
      <c r="B125" s="9"/>
      <c r="C125" s="22"/>
      <c r="D125" s="25"/>
      <c r="E125" s="22"/>
      <c r="F125" s="25"/>
      <c r="G125" s="11" t="str">
        <f aca="false">IF(COUNT(C125:F125)&lt;4,"",IF(AND(E125=0,OR(C125&gt;=$C$23,D125&gt;=$C$24)),"ADD AS NEGATIVE",IF(AND(F125&gt;0,D125/F125&gt;$C$8),"ACOS &gt; BREAKEVEN","OK")))</f>
        <v/>
      </c>
    </row>
    <row r="126" customFormat="false" ht="15" hidden="false" customHeight="false" outlineLevel="0" collapsed="false">
      <c r="B126" s="9"/>
      <c r="C126" s="22"/>
      <c r="D126" s="25"/>
      <c r="E126" s="22"/>
      <c r="F126" s="25"/>
      <c r="G126" s="11" t="str">
        <f aca="false">IF(COUNT(C126:F126)&lt;4,"",IF(AND(E126=0,OR(C126&gt;=$C$23,D126&gt;=$C$24)),"ADD AS NEGATIVE",IF(AND(F126&gt;0,D126/F126&gt;$C$8),"ACOS &gt; BREAKEVEN","OK")))</f>
        <v/>
      </c>
    </row>
    <row r="127" customFormat="false" ht="15" hidden="false" customHeight="false" outlineLevel="0" collapsed="false">
      <c r="B127" s="9"/>
      <c r="C127" s="22"/>
      <c r="D127" s="25"/>
      <c r="E127" s="22"/>
      <c r="F127" s="25"/>
      <c r="G127" s="11" t="str">
        <f aca="false">IF(COUNT(C127:F127)&lt;4,"",IF(AND(E127=0,OR(C127&gt;=$C$23,D127&gt;=$C$24)),"ADD AS NEGATIVE",IF(AND(F127&gt;0,D127/F127&gt;$C$8),"ACOS &gt; BREAKEVEN","OK")))</f>
        <v/>
      </c>
    </row>
    <row r="128" customFormat="false" ht="15" hidden="false" customHeight="false" outlineLevel="0" collapsed="false">
      <c r="B128" s="9"/>
      <c r="C128" s="22"/>
      <c r="D128" s="25"/>
      <c r="E128" s="22"/>
      <c r="F128" s="25"/>
      <c r="G128" s="11" t="str">
        <f aca="false">IF(COUNT(C128:F128)&lt;4,"",IF(AND(E128=0,OR(C128&gt;=$C$23,D128&gt;=$C$24)),"ADD AS NEGATIVE",IF(AND(F128&gt;0,D128/F128&gt;$C$8),"ACOS &gt; BREAKEVEN","OK")))</f>
        <v/>
      </c>
    </row>
    <row r="129" customFormat="false" ht="15" hidden="false" customHeight="false" outlineLevel="0" collapsed="false">
      <c r="B129" s="9"/>
      <c r="C129" s="22"/>
      <c r="D129" s="25"/>
      <c r="E129" s="22"/>
      <c r="F129" s="25"/>
      <c r="G129" s="11" t="str">
        <f aca="false">IF(COUNT(C129:F129)&lt;4,"",IF(AND(E129=0,OR(C129&gt;=$C$23,D129&gt;=$C$24)),"ADD AS NEGATIVE",IF(AND(F129&gt;0,D129/F129&gt;$C$8),"ACOS &gt; BREAKEVEN","OK")))</f>
        <v/>
      </c>
    </row>
    <row r="130" customFormat="false" ht="15" hidden="false" customHeight="false" outlineLevel="0" collapsed="false">
      <c r="B130" s="9"/>
      <c r="C130" s="22"/>
      <c r="D130" s="25"/>
      <c r="E130" s="22"/>
      <c r="F130" s="25"/>
      <c r="G130" s="11" t="str">
        <f aca="false">IF(COUNT(C130:F130)&lt;4,"",IF(AND(E130=0,OR(C130&gt;=$C$23,D130&gt;=$C$24)),"ADD AS NEGATIVE",IF(AND(F130&gt;0,D130/F130&gt;$C$8),"ACOS &gt; BREAKEVEN","OK")))</f>
        <v/>
      </c>
    </row>
    <row r="131" customFormat="false" ht="15" hidden="false" customHeight="false" outlineLevel="0" collapsed="false">
      <c r="B131" s="9"/>
      <c r="C131" s="22"/>
      <c r="D131" s="25"/>
      <c r="E131" s="22"/>
      <c r="F131" s="25"/>
      <c r="G131" s="11" t="str">
        <f aca="false">IF(COUNT(C131:F131)&lt;4,"",IF(AND(E131=0,OR(C131&gt;=$C$23,D131&gt;=$C$24)),"ADD AS NEGATIVE",IF(AND(F131&gt;0,D131/F131&gt;$C$8),"ACOS &gt; BREAKEVEN","OK")))</f>
        <v/>
      </c>
    </row>
    <row r="132" customFormat="false" ht="15" hidden="false" customHeight="false" outlineLevel="0" collapsed="false">
      <c r="B132" s="9"/>
      <c r="C132" s="22"/>
      <c r="D132" s="25"/>
      <c r="E132" s="22"/>
      <c r="F132" s="25"/>
      <c r="G132" s="11" t="str">
        <f aca="false">IF(COUNT(C132:F132)&lt;4,"",IF(AND(E132=0,OR(C132&gt;=$C$23,D132&gt;=$C$24)),"ADD AS NEGATIVE",IF(AND(F132&gt;0,D132/F132&gt;$C$8),"ACOS &gt; BREAKEVEN","OK")))</f>
        <v/>
      </c>
    </row>
    <row r="133" customFormat="false" ht="15" hidden="false" customHeight="false" outlineLevel="0" collapsed="false">
      <c r="B133" s="9"/>
      <c r="C133" s="22"/>
      <c r="D133" s="25"/>
      <c r="E133" s="22"/>
      <c r="F133" s="25"/>
      <c r="G133" s="11" t="str">
        <f aca="false">IF(COUNT(C133:F133)&lt;4,"",IF(AND(E133=0,OR(C133&gt;=$C$23,D133&gt;=$C$24)),"ADD AS NEGATIVE",IF(AND(F133&gt;0,D133/F133&gt;$C$8),"ACOS &gt; BREAKEVEN","OK")))</f>
        <v/>
      </c>
    </row>
    <row r="134" customFormat="false" ht="15" hidden="false" customHeight="false" outlineLevel="0" collapsed="false">
      <c r="B134" s="9"/>
      <c r="C134" s="22"/>
      <c r="D134" s="25"/>
      <c r="E134" s="22"/>
      <c r="F134" s="25"/>
      <c r="G134" s="11" t="str">
        <f aca="false">IF(COUNT(C134:F134)&lt;4,"",IF(AND(E134=0,OR(C134&gt;=$C$23,D134&gt;=$C$24)),"ADD AS NEGATIVE",IF(AND(F134&gt;0,D134/F134&gt;$C$8),"ACOS &gt; BREAKEVEN","OK")))</f>
        <v/>
      </c>
    </row>
    <row r="135" customFormat="false" ht="15" hidden="false" customHeight="false" outlineLevel="0" collapsed="false">
      <c r="B135" s="9"/>
      <c r="C135" s="22"/>
      <c r="D135" s="25"/>
      <c r="E135" s="22"/>
      <c r="F135" s="25"/>
      <c r="G135" s="11" t="str">
        <f aca="false">IF(COUNT(C135:F135)&lt;4,"",IF(AND(E135=0,OR(C135&gt;=$C$23,D135&gt;=$C$24)),"ADD AS NEGATIVE",IF(AND(F135&gt;0,D135/F135&gt;$C$8),"ACOS &gt; BREAKEVEN","OK")))</f>
        <v/>
      </c>
    </row>
    <row r="136" customFormat="false" ht="15" hidden="false" customHeight="false" outlineLevel="0" collapsed="false">
      <c r="B136" s="9"/>
      <c r="C136" s="22"/>
      <c r="D136" s="25"/>
      <c r="E136" s="22"/>
      <c r="F136" s="25"/>
      <c r="G136" s="11" t="str">
        <f aca="false">IF(COUNT(C136:F136)&lt;4,"",IF(AND(E136=0,OR(C136&gt;=$C$23,D136&gt;=$C$24)),"ADD AS NEGATIVE",IF(AND(F136&gt;0,D136/F136&gt;$C$8),"ACOS &gt; BREAKEVEN","OK")))</f>
        <v/>
      </c>
    </row>
    <row r="137" customFormat="false" ht="15" hidden="false" customHeight="false" outlineLevel="0" collapsed="false">
      <c r="B137" s="9"/>
      <c r="C137" s="22"/>
      <c r="D137" s="25"/>
      <c r="E137" s="22"/>
      <c r="F137" s="25"/>
      <c r="G137" s="11" t="str">
        <f aca="false">IF(COUNT(C137:F137)&lt;4,"",IF(AND(E137=0,OR(C137&gt;=$C$23,D137&gt;=$C$24)),"ADD AS NEGATIVE",IF(AND(F137&gt;0,D137/F137&gt;$C$8),"ACOS &gt; BREAKEVEN","OK")))</f>
        <v/>
      </c>
    </row>
    <row r="138" customFormat="false" ht="15" hidden="false" customHeight="false" outlineLevel="0" collapsed="false">
      <c r="B138" s="9"/>
      <c r="C138" s="22"/>
      <c r="D138" s="25"/>
      <c r="E138" s="22"/>
      <c r="F138" s="25"/>
      <c r="G138" s="11" t="str">
        <f aca="false">IF(COUNT(C138:F138)&lt;4,"",IF(AND(E138=0,OR(C138&gt;=$C$23,D138&gt;=$C$24)),"ADD AS NEGATIVE",IF(AND(F138&gt;0,D138/F138&gt;$C$8),"ACOS &gt; BREAKEVEN","OK")))</f>
        <v/>
      </c>
    </row>
    <row r="139" customFormat="false" ht="15" hidden="false" customHeight="false" outlineLevel="0" collapsed="false">
      <c r="B139" s="9"/>
      <c r="C139" s="22"/>
      <c r="D139" s="25"/>
      <c r="E139" s="22"/>
      <c r="F139" s="25"/>
      <c r="G139" s="11" t="str">
        <f aca="false">IF(COUNT(C139:F139)&lt;4,"",IF(AND(E139=0,OR(C139&gt;=$C$23,D139&gt;=$C$24)),"ADD AS NEGATIVE",IF(AND(F139&gt;0,D139/F139&gt;$C$8),"ACOS &gt; BREAKEVEN","OK")))</f>
        <v/>
      </c>
    </row>
    <row r="140" customFormat="false" ht="15" hidden="false" customHeight="false" outlineLevel="0" collapsed="false">
      <c r="B140" s="9"/>
      <c r="C140" s="22"/>
      <c r="D140" s="25"/>
      <c r="E140" s="22"/>
      <c r="F140" s="25"/>
      <c r="G140" s="11" t="str">
        <f aca="false">IF(COUNT(C140:F140)&lt;4,"",IF(AND(E140=0,OR(C140&gt;=$C$23,D140&gt;=$C$24)),"ADD AS NEGATIVE",IF(AND(F140&gt;0,D140/F140&gt;$C$8),"ACOS &gt; BREAKEVEN","OK")))</f>
        <v/>
      </c>
    </row>
    <row r="141" customFormat="false" ht="15" hidden="false" customHeight="false" outlineLevel="0" collapsed="false">
      <c r="B141" s="9"/>
      <c r="C141" s="22"/>
      <c r="D141" s="25"/>
      <c r="E141" s="22"/>
      <c r="F141" s="25"/>
      <c r="G141" s="11" t="str">
        <f aca="false">IF(COUNT(C141:F141)&lt;4,"",IF(AND(E141=0,OR(C141&gt;=$C$23,D141&gt;=$C$24)),"ADD AS NEGATIVE",IF(AND(F141&gt;0,D141/F141&gt;$C$8),"ACOS &gt; BREAKEVEN","OK")))</f>
        <v/>
      </c>
    </row>
    <row r="142" customFormat="false" ht="15" hidden="false" customHeight="false" outlineLevel="0" collapsed="false">
      <c r="B142" s="9"/>
      <c r="C142" s="22"/>
      <c r="D142" s="25"/>
      <c r="E142" s="22"/>
      <c r="F142" s="25"/>
      <c r="G142" s="11" t="str">
        <f aca="false">IF(COUNT(C142:F142)&lt;4,"",IF(AND(E142=0,OR(C142&gt;=$C$23,D142&gt;=$C$24)),"ADD AS NEGATIVE",IF(AND(F142&gt;0,D142/F142&gt;$C$8),"ACOS &gt; BREAKEVEN","OK")))</f>
        <v/>
      </c>
    </row>
    <row r="143" customFormat="false" ht="15" hidden="false" customHeight="false" outlineLevel="0" collapsed="false">
      <c r="B143" s="9"/>
      <c r="C143" s="22"/>
      <c r="D143" s="25"/>
      <c r="E143" s="22"/>
      <c r="F143" s="25"/>
      <c r="G143" s="11" t="str">
        <f aca="false">IF(COUNT(C143:F143)&lt;4,"",IF(AND(E143=0,OR(C143&gt;=$C$23,D143&gt;=$C$24)),"ADD AS NEGATIVE",IF(AND(F143&gt;0,D143/F143&gt;$C$8),"ACOS &gt; BREAKEVEN","OK")))</f>
        <v/>
      </c>
    </row>
    <row r="144" customFormat="false" ht="15" hidden="false" customHeight="false" outlineLevel="0" collapsed="false">
      <c r="B144" s="9"/>
      <c r="C144" s="22"/>
      <c r="D144" s="25"/>
      <c r="E144" s="22"/>
      <c r="F144" s="25"/>
      <c r="G144" s="11" t="str">
        <f aca="false">IF(COUNT(C144:F144)&lt;4,"",IF(AND(E144=0,OR(C144&gt;=$C$23,D144&gt;=$C$24)),"ADD AS NEGATIVE",IF(AND(F144&gt;0,D144/F144&gt;$C$8),"ACOS &gt; BREAKEVEN","OK")))</f>
        <v/>
      </c>
    </row>
    <row r="145" customFormat="false" ht="15" hidden="false" customHeight="false" outlineLevel="0" collapsed="false">
      <c r="B145" s="9"/>
      <c r="C145" s="22"/>
      <c r="D145" s="25"/>
      <c r="E145" s="22"/>
      <c r="F145" s="25"/>
      <c r="G145" s="11" t="str">
        <f aca="false">IF(COUNT(C145:F145)&lt;4,"",IF(AND(E145=0,OR(C145&gt;=$C$23,D145&gt;=$C$24)),"ADD AS NEGATIVE",IF(AND(F145&gt;0,D145/F145&gt;$C$8),"ACOS &gt; BREAKEVEN","OK")))</f>
        <v/>
      </c>
    </row>
    <row r="146" customFormat="false" ht="15" hidden="false" customHeight="false" outlineLevel="0" collapsed="false">
      <c r="B146" s="9"/>
      <c r="C146" s="22"/>
      <c r="D146" s="25"/>
      <c r="E146" s="22"/>
      <c r="F146" s="25"/>
      <c r="G146" s="11" t="str">
        <f aca="false">IF(COUNT(C146:F146)&lt;4,"",IF(AND(E146=0,OR(C146&gt;=$C$23,D146&gt;=$C$24)),"ADD AS NEGATIVE",IF(AND(F146&gt;0,D146/F146&gt;$C$8),"ACOS &gt; BREAKEVEN","OK")))</f>
        <v/>
      </c>
    </row>
    <row r="147" customFormat="false" ht="15" hidden="false" customHeight="false" outlineLevel="0" collapsed="false">
      <c r="B147" s="9"/>
      <c r="C147" s="22"/>
      <c r="D147" s="25"/>
      <c r="E147" s="22"/>
      <c r="F147" s="25"/>
      <c r="G147" s="11" t="str">
        <f aca="false">IF(COUNT(C147:F147)&lt;4,"",IF(AND(E147=0,OR(C147&gt;=$C$23,D147&gt;=$C$24)),"ADD AS NEGATIVE",IF(AND(F147&gt;0,D147/F147&gt;$C$8),"ACOS &gt; BREAKEVEN","OK")))</f>
        <v/>
      </c>
    </row>
    <row r="148" customFormat="false" ht="15" hidden="false" customHeight="false" outlineLevel="0" collapsed="false">
      <c r="B148" s="9"/>
      <c r="C148" s="22"/>
      <c r="D148" s="25"/>
      <c r="E148" s="22"/>
      <c r="F148" s="25"/>
      <c r="G148" s="11" t="str">
        <f aca="false">IF(COUNT(C148:F148)&lt;4,"",IF(AND(E148=0,OR(C148&gt;=$C$23,D148&gt;=$C$24)),"ADD AS NEGATIVE",IF(AND(F148&gt;0,D148/F148&gt;$C$8),"ACOS &gt; BREAKEVEN","OK")))</f>
        <v/>
      </c>
    </row>
    <row r="149" customFormat="false" ht="15" hidden="false" customHeight="false" outlineLevel="0" collapsed="false">
      <c r="B149" s="9"/>
      <c r="C149" s="22"/>
      <c r="D149" s="25"/>
      <c r="E149" s="22"/>
      <c r="F149" s="25"/>
      <c r="G149" s="11" t="str">
        <f aca="false">IF(COUNT(C149:F149)&lt;4,"",IF(AND(E149=0,OR(C149&gt;=$C$23,D149&gt;=$C$24)),"ADD AS NEGATIVE",IF(AND(F149&gt;0,D149/F149&gt;$C$8),"ACOS &gt; BREAKEVEN","OK")))</f>
        <v/>
      </c>
    </row>
    <row r="150" customFormat="false" ht="15" hidden="false" customHeight="false" outlineLevel="0" collapsed="false">
      <c r="B150" s="9"/>
      <c r="C150" s="22"/>
      <c r="D150" s="25"/>
      <c r="E150" s="22"/>
      <c r="F150" s="25"/>
      <c r="G150" s="11" t="str">
        <f aca="false">IF(COUNT(C150:F150)&lt;4,"",IF(AND(E150=0,OR(C150&gt;=$C$23,D150&gt;=$C$24)),"ADD AS NEGATIVE",IF(AND(F150&gt;0,D150/F150&gt;$C$8),"ACOS &gt; BREAKEVEN","OK")))</f>
        <v/>
      </c>
    </row>
    <row r="151" customFormat="false" ht="15" hidden="false" customHeight="false" outlineLevel="0" collapsed="false">
      <c r="B151" s="9"/>
      <c r="C151" s="22"/>
      <c r="D151" s="25"/>
      <c r="E151" s="22"/>
      <c r="F151" s="25"/>
      <c r="G151" s="11" t="str">
        <f aca="false">IF(COUNT(C151:F151)&lt;4,"",IF(AND(E151=0,OR(C151&gt;=$C$23,D151&gt;=$C$24)),"ADD AS NEGATIVE",IF(AND(F151&gt;0,D151/F151&gt;$C$8),"ACOS &gt; BREAKEVEN","OK")))</f>
        <v/>
      </c>
    </row>
    <row r="152" customFormat="false" ht="15" hidden="false" customHeight="false" outlineLevel="0" collapsed="false">
      <c r="B152" s="9"/>
      <c r="C152" s="22"/>
      <c r="D152" s="25"/>
      <c r="E152" s="22"/>
      <c r="F152" s="25"/>
      <c r="G152" s="11" t="str">
        <f aca="false">IF(COUNT(C152:F152)&lt;4,"",IF(AND(E152=0,OR(C152&gt;=$C$23,D152&gt;=$C$24)),"ADD AS NEGATIVE",IF(AND(F152&gt;0,D152/F152&gt;$C$8),"ACOS &gt; BREAKEVEN","OK")))</f>
        <v/>
      </c>
    </row>
    <row r="153" customFormat="false" ht="15" hidden="false" customHeight="false" outlineLevel="0" collapsed="false">
      <c r="B153" s="9"/>
      <c r="C153" s="22"/>
      <c r="D153" s="25"/>
      <c r="E153" s="22"/>
      <c r="F153" s="25"/>
      <c r="G153" s="11" t="str">
        <f aca="false">IF(COUNT(C153:F153)&lt;4,"",IF(AND(E153=0,OR(C153&gt;=$C$23,D153&gt;=$C$24)),"ADD AS NEGATIVE",IF(AND(F153&gt;0,D153/F153&gt;$C$8),"ACOS &gt; BREAKEVEN","OK")))</f>
        <v/>
      </c>
    </row>
    <row r="154" customFormat="false" ht="15" hidden="false" customHeight="false" outlineLevel="0" collapsed="false">
      <c r="B154" s="9"/>
      <c r="C154" s="22"/>
      <c r="D154" s="25"/>
      <c r="E154" s="22"/>
      <c r="F154" s="25"/>
      <c r="G154" s="11" t="str">
        <f aca="false">IF(COUNT(C154:F154)&lt;4,"",IF(AND(E154=0,OR(C154&gt;=$C$23,D154&gt;=$C$24)),"ADD AS NEGATIVE",IF(AND(F154&gt;0,D154/F154&gt;$C$8),"ACOS &gt; BREAKEVEN","OK")))</f>
        <v/>
      </c>
    </row>
    <row r="155" customFormat="false" ht="15" hidden="false" customHeight="false" outlineLevel="0" collapsed="false">
      <c r="B155" s="9"/>
      <c r="C155" s="22"/>
      <c r="D155" s="25"/>
      <c r="E155" s="22"/>
      <c r="F155" s="25"/>
      <c r="G155" s="11" t="str">
        <f aca="false">IF(COUNT(C155:F155)&lt;4,"",IF(AND(E155=0,OR(C155&gt;=$C$23,D155&gt;=$C$24)),"ADD AS NEGATIVE",IF(AND(F155&gt;0,D155/F155&gt;$C$8),"ACOS &gt; BREAKEVEN","OK")))</f>
        <v/>
      </c>
    </row>
    <row r="156" customFormat="false" ht="15" hidden="false" customHeight="false" outlineLevel="0" collapsed="false">
      <c r="B156" s="9"/>
      <c r="C156" s="22"/>
      <c r="D156" s="25"/>
      <c r="E156" s="22"/>
      <c r="F156" s="25"/>
      <c r="G156" s="11" t="str">
        <f aca="false">IF(COUNT(C156:F156)&lt;4,"",IF(AND(E156=0,OR(C156&gt;=$C$23,D156&gt;=$C$24)),"ADD AS NEGATIVE",IF(AND(F156&gt;0,D156/F156&gt;$C$8),"ACOS &gt; BREAKEVEN","OK")))</f>
        <v/>
      </c>
    </row>
    <row r="157" customFormat="false" ht="15" hidden="false" customHeight="false" outlineLevel="0" collapsed="false">
      <c r="B157" s="9"/>
      <c r="C157" s="22"/>
      <c r="D157" s="25"/>
      <c r="E157" s="22"/>
      <c r="F157" s="25"/>
      <c r="G157" s="11" t="str">
        <f aca="false">IF(COUNT(C157:F157)&lt;4,"",IF(AND(E157=0,OR(C157&gt;=$C$23,D157&gt;=$C$24)),"ADD AS NEGATIVE",IF(AND(F157&gt;0,D157/F157&gt;$C$8),"ACOS &gt; BREAKEVEN","OK")))</f>
        <v/>
      </c>
    </row>
    <row r="158" customFormat="false" ht="15" hidden="false" customHeight="false" outlineLevel="0" collapsed="false">
      <c r="B158" s="9"/>
      <c r="C158" s="22"/>
      <c r="D158" s="25"/>
      <c r="E158" s="22"/>
      <c r="F158" s="25"/>
      <c r="G158" s="11" t="str">
        <f aca="false">IF(COUNT(C158:F158)&lt;4,"",IF(AND(E158=0,OR(C158&gt;=$C$23,D158&gt;=$C$24)),"ADD AS NEGATIVE",IF(AND(F158&gt;0,D158/F158&gt;$C$8),"ACOS &gt; BREAKEVEN","OK")))</f>
        <v/>
      </c>
    </row>
    <row r="159" customFormat="false" ht="15" hidden="false" customHeight="false" outlineLevel="0" collapsed="false">
      <c r="B159" s="9"/>
      <c r="C159" s="22"/>
      <c r="D159" s="25"/>
      <c r="E159" s="22"/>
      <c r="F159" s="25"/>
      <c r="G159" s="11" t="str">
        <f aca="false">IF(COUNT(C159:F159)&lt;4,"",IF(AND(E159=0,OR(C159&gt;=$C$23,D159&gt;=$C$24)),"ADD AS NEGATIVE",IF(AND(F159&gt;0,D159/F159&gt;$C$8),"ACOS &gt; BREAKEVEN","OK")))</f>
        <v/>
      </c>
    </row>
    <row r="160" customFormat="false" ht="15" hidden="false" customHeight="false" outlineLevel="0" collapsed="false">
      <c r="B160" s="9"/>
      <c r="C160" s="22"/>
      <c r="D160" s="25"/>
      <c r="E160" s="22"/>
      <c r="F160" s="25"/>
      <c r="G160" s="11" t="str">
        <f aca="false">IF(COUNT(C160:F160)&lt;4,"",IF(AND(E160=0,OR(C160&gt;=$C$23,D160&gt;=$C$24)),"ADD AS NEGATIVE",IF(AND(F160&gt;0,D160/F160&gt;$C$8),"ACOS &gt; BREAKEVEN","OK")))</f>
        <v/>
      </c>
    </row>
    <row r="161" customFormat="false" ht="15" hidden="false" customHeight="false" outlineLevel="0" collapsed="false">
      <c r="B161" s="9"/>
      <c r="C161" s="22"/>
      <c r="D161" s="25"/>
      <c r="E161" s="22"/>
      <c r="F161" s="25"/>
      <c r="G161" s="11" t="str">
        <f aca="false">IF(COUNT(C161:F161)&lt;4,"",IF(AND(E161=0,OR(C161&gt;=$C$23,D161&gt;=$C$24)),"ADD AS NEGATIVE",IF(AND(F161&gt;0,D161/F161&gt;$C$8),"ACOS &gt; BREAKEVEN","OK")))</f>
        <v/>
      </c>
    </row>
    <row r="162" customFormat="false" ht="15" hidden="false" customHeight="false" outlineLevel="0" collapsed="false">
      <c r="B162" s="9"/>
      <c r="C162" s="22"/>
      <c r="D162" s="25"/>
      <c r="E162" s="22"/>
      <c r="F162" s="25"/>
      <c r="G162" s="11" t="str">
        <f aca="false">IF(COUNT(C162:F162)&lt;4,"",IF(AND(E162=0,OR(C162&gt;=$C$23,D162&gt;=$C$24)),"ADD AS NEGATIVE",IF(AND(F162&gt;0,D162/F162&gt;$C$8),"ACOS &gt; BREAKEVEN","OK")))</f>
        <v/>
      </c>
    </row>
    <row r="163" customFormat="false" ht="15" hidden="false" customHeight="false" outlineLevel="0" collapsed="false">
      <c r="B163" s="9"/>
      <c r="C163" s="22"/>
      <c r="D163" s="25"/>
      <c r="E163" s="22"/>
      <c r="F163" s="25"/>
      <c r="G163" s="11" t="str">
        <f aca="false">IF(COUNT(C163:F163)&lt;4,"",IF(AND(E163=0,OR(C163&gt;=$C$23,D163&gt;=$C$24)),"ADD AS NEGATIVE",IF(AND(F163&gt;0,D163/F163&gt;$C$8),"ACOS &gt; BREAKEVEN","OK")))</f>
        <v/>
      </c>
    </row>
    <row r="164" customFormat="false" ht="15" hidden="false" customHeight="false" outlineLevel="0" collapsed="false">
      <c r="B164" s="9"/>
      <c r="C164" s="22"/>
      <c r="D164" s="25"/>
      <c r="E164" s="22"/>
      <c r="F164" s="25"/>
      <c r="G164" s="11" t="str">
        <f aca="false">IF(COUNT(C164:F164)&lt;4,"",IF(AND(E164=0,OR(C164&gt;=$C$23,D164&gt;=$C$24)),"ADD AS NEGATIVE",IF(AND(F164&gt;0,D164/F164&gt;$C$8),"ACOS &gt; BREAKEVEN","OK")))</f>
        <v/>
      </c>
    </row>
    <row r="165" customFormat="false" ht="15" hidden="false" customHeight="false" outlineLevel="0" collapsed="false">
      <c r="B165" s="9"/>
      <c r="C165" s="22"/>
      <c r="D165" s="25"/>
      <c r="E165" s="22"/>
      <c r="F165" s="25"/>
      <c r="G165" s="11" t="str">
        <f aca="false">IF(COUNT(C165:F165)&lt;4,"",IF(AND(E165=0,OR(C165&gt;=$C$23,D165&gt;=$C$24)),"ADD AS NEGATIVE",IF(AND(F165&gt;0,D165/F165&gt;$C$8),"ACOS &gt; BREAKEVEN","OK")))</f>
        <v/>
      </c>
    </row>
    <row r="166" customFormat="false" ht="15" hidden="false" customHeight="false" outlineLevel="0" collapsed="false">
      <c r="B166" s="9"/>
      <c r="C166" s="22"/>
      <c r="D166" s="25"/>
      <c r="E166" s="22"/>
      <c r="F166" s="25"/>
      <c r="G166" s="11" t="str">
        <f aca="false">IF(COUNT(C166:F166)&lt;4,"",IF(AND(E166=0,OR(C166&gt;=$C$23,D166&gt;=$C$24)),"ADD AS NEGATIVE",IF(AND(F166&gt;0,D166/F166&gt;$C$8),"ACOS &gt; BREAKEVEN","OK")))</f>
        <v/>
      </c>
    </row>
    <row r="167" customFormat="false" ht="15" hidden="false" customHeight="false" outlineLevel="0" collapsed="false">
      <c r="B167" s="9"/>
      <c r="C167" s="22"/>
      <c r="D167" s="25"/>
      <c r="E167" s="22"/>
      <c r="F167" s="25"/>
      <c r="G167" s="11" t="str">
        <f aca="false">IF(COUNT(C167:F167)&lt;4,"",IF(AND(E167=0,OR(C167&gt;=$C$23,D167&gt;=$C$24)),"ADD AS NEGATIVE",IF(AND(F167&gt;0,D167/F167&gt;$C$8),"ACOS &gt; BREAKEVEN","OK")))</f>
        <v/>
      </c>
    </row>
    <row r="168" customFormat="false" ht="15" hidden="false" customHeight="false" outlineLevel="0" collapsed="false">
      <c r="B168" s="9"/>
      <c r="C168" s="22"/>
      <c r="D168" s="25"/>
      <c r="E168" s="22"/>
      <c r="F168" s="25"/>
      <c r="G168" s="11" t="str">
        <f aca="false">IF(COUNT(C168:F168)&lt;4,"",IF(AND(E168=0,OR(C168&gt;=$C$23,D168&gt;=$C$24)),"ADD AS NEGATIVE",IF(AND(F168&gt;0,D168/F168&gt;$C$8),"ACOS &gt; BREAKEVEN","OK")))</f>
        <v/>
      </c>
    </row>
    <row r="169" customFormat="false" ht="15" hidden="false" customHeight="false" outlineLevel="0" collapsed="false">
      <c r="B169" s="9"/>
      <c r="C169" s="22"/>
      <c r="D169" s="25"/>
      <c r="E169" s="22"/>
      <c r="F169" s="25"/>
      <c r="G169" s="11" t="str">
        <f aca="false">IF(COUNT(C169:F169)&lt;4,"",IF(AND(E169=0,OR(C169&gt;=$C$23,D169&gt;=$C$24)),"ADD AS NEGATIVE",IF(AND(F169&gt;0,D169/F169&gt;$C$8),"ACOS &gt; BREAKEVEN","OK")))</f>
        <v/>
      </c>
    </row>
    <row r="170" customFormat="false" ht="15" hidden="false" customHeight="false" outlineLevel="0" collapsed="false">
      <c r="B170" s="9"/>
      <c r="C170" s="22"/>
      <c r="D170" s="25"/>
      <c r="E170" s="22"/>
      <c r="F170" s="25"/>
      <c r="G170" s="11" t="str">
        <f aca="false">IF(COUNT(C170:F170)&lt;4,"",IF(AND(E170=0,OR(C170&gt;=$C$23,D170&gt;=$C$24)),"ADD AS NEGATIVE",IF(AND(F170&gt;0,D170/F170&gt;$C$8),"ACOS &gt; BREAKEVEN","OK")))</f>
        <v/>
      </c>
    </row>
    <row r="171" customFormat="false" ht="15" hidden="false" customHeight="false" outlineLevel="0" collapsed="false">
      <c r="B171" s="9"/>
      <c r="C171" s="22"/>
      <c r="D171" s="25"/>
      <c r="E171" s="22"/>
      <c r="F171" s="25"/>
      <c r="G171" s="11" t="str">
        <f aca="false">IF(COUNT(C171:F171)&lt;4,"",IF(AND(E171=0,OR(C171&gt;=$C$23,D171&gt;=$C$24)),"ADD AS NEGATIVE",IF(AND(F171&gt;0,D171/F171&gt;$C$8),"ACOS &gt; BREAKEVEN","OK")))</f>
        <v/>
      </c>
    </row>
    <row r="172" customFormat="false" ht="15" hidden="false" customHeight="false" outlineLevel="0" collapsed="false">
      <c r="B172" s="9"/>
      <c r="C172" s="22"/>
      <c r="D172" s="25"/>
      <c r="E172" s="22"/>
      <c r="F172" s="25"/>
      <c r="G172" s="11" t="str">
        <f aca="false">IF(COUNT(C172:F172)&lt;4,"",IF(AND(E172=0,OR(C172&gt;=$C$23,D172&gt;=$C$24)),"ADD AS NEGATIVE",IF(AND(F172&gt;0,D172/F172&gt;$C$8),"ACOS &gt; BREAKEVEN","OK")))</f>
        <v/>
      </c>
    </row>
    <row r="173" customFormat="false" ht="15" hidden="false" customHeight="false" outlineLevel="0" collapsed="false">
      <c r="B173" s="9"/>
      <c r="C173" s="22"/>
      <c r="D173" s="25"/>
      <c r="E173" s="22"/>
      <c r="F173" s="25"/>
      <c r="G173" s="11" t="str">
        <f aca="false">IF(COUNT(C173:F173)&lt;4,"",IF(AND(E173=0,OR(C173&gt;=$C$23,D173&gt;=$C$24)),"ADD AS NEGATIVE",IF(AND(F173&gt;0,D173/F173&gt;$C$8),"ACOS &gt; BREAKEVEN","OK")))</f>
        <v/>
      </c>
    </row>
    <row r="174" customFormat="false" ht="15" hidden="false" customHeight="false" outlineLevel="0" collapsed="false">
      <c r="B174" s="9"/>
      <c r="C174" s="22"/>
      <c r="D174" s="25"/>
      <c r="E174" s="22"/>
      <c r="F174" s="25"/>
      <c r="G174" s="11" t="str">
        <f aca="false">IF(COUNT(C174:F174)&lt;4,"",IF(AND(E174=0,OR(C174&gt;=$C$23,D174&gt;=$C$24)),"ADD AS NEGATIVE",IF(AND(F174&gt;0,D174/F174&gt;$C$8),"ACOS &gt; BREAKEVEN","OK")))</f>
        <v/>
      </c>
    </row>
    <row r="175" customFormat="false" ht="15" hidden="false" customHeight="false" outlineLevel="0" collapsed="false">
      <c r="B175" s="9"/>
      <c r="C175" s="22"/>
      <c r="D175" s="25"/>
      <c r="E175" s="22"/>
      <c r="F175" s="25"/>
      <c r="G175" s="11" t="str">
        <f aca="false">IF(COUNT(C175:F175)&lt;4,"",IF(AND(E175=0,OR(C175&gt;=$C$23,D175&gt;=$C$24)),"ADD AS NEGATIVE",IF(AND(F175&gt;0,D175/F175&gt;$C$8),"ACOS &gt; BREAKEVEN","OK")))</f>
        <v/>
      </c>
    </row>
    <row r="176" customFormat="false" ht="15" hidden="false" customHeight="false" outlineLevel="0" collapsed="false">
      <c r="B176" s="9"/>
      <c r="C176" s="22"/>
      <c r="D176" s="25"/>
      <c r="E176" s="22"/>
      <c r="F176" s="25"/>
      <c r="G176" s="11" t="str">
        <f aca="false">IF(COUNT(C176:F176)&lt;4,"",IF(AND(E176=0,OR(C176&gt;=$C$23,D176&gt;=$C$24)),"ADD AS NEGATIVE",IF(AND(F176&gt;0,D176/F176&gt;$C$8),"ACOS &gt; BREAKEVEN","OK")))</f>
        <v/>
      </c>
    </row>
    <row r="177" customFormat="false" ht="15" hidden="false" customHeight="false" outlineLevel="0" collapsed="false">
      <c r="B177" s="9"/>
      <c r="C177" s="22"/>
      <c r="D177" s="25"/>
      <c r="E177" s="22"/>
      <c r="F177" s="25"/>
      <c r="G177" s="11" t="str">
        <f aca="false">IF(COUNT(C177:F177)&lt;4,"",IF(AND(E177=0,OR(C177&gt;=$C$23,D177&gt;=$C$24)),"ADD AS NEGATIVE",IF(AND(F177&gt;0,D177/F177&gt;$C$8),"ACOS &gt; BREAKEVEN","OK")))</f>
        <v/>
      </c>
    </row>
    <row r="178" customFormat="false" ht="15" hidden="false" customHeight="false" outlineLevel="0" collapsed="false">
      <c r="B178" s="9"/>
      <c r="C178" s="22"/>
      <c r="D178" s="25"/>
      <c r="E178" s="22"/>
      <c r="F178" s="25"/>
      <c r="G178" s="11" t="str">
        <f aca="false">IF(COUNT(C178:F178)&lt;4,"",IF(AND(E178=0,OR(C178&gt;=$C$23,D178&gt;=$C$24)),"ADD AS NEGATIVE",IF(AND(F178&gt;0,D178/F178&gt;$C$8),"ACOS &gt; BREAKEVEN","OK")))</f>
        <v/>
      </c>
    </row>
    <row r="179" customFormat="false" ht="15" hidden="false" customHeight="false" outlineLevel="0" collapsed="false">
      <c r="B179" s="9"/>
      <c r="C179" s="22"/>
      <c r="D179" s="25"/>
      <c r="E179" s="22"/>
      <c r="F179" s="25"/>
      <c r="G179" s="11" t="str">
        <f aca="false">IF(COUNT(C179:F179)&lt;4,"",IF(AND(E179=0,OR(C179&gt;=$C$23,D179&gt;=$C$24)),"ADD AS NEGATIVE",IF(AND(F179&gt;0,D179/F179&gt;$C$8),"ACOS &gt; BREAKEVEN","OK")))</f>
        <v/>
      </c>
    </row>
    <row r="180" customFormat="false" ht="15" hidden="false" customHeight="false" outlineLevel="0" collapsed="false">
      <c r="B180" s="9"/>
      <c r="C180" s="22"/>
      <c r="D180" s="25"/>
      <c r="E180" s="22"/>
      <c r="F180" s="25"/>
      <c r="G180" s="11" t="str">
        <f aca="false">IF(COUNT(C180:F180)&lt;4,"",IF(AND(E180=0,OR(C180&gt;=$C$23,D180&gt;=$C$24)),"ADD AS NEGATIVE",IF(AND(F180&gt;0,D180/F180&gt;$C$8),"ACOS &gt; BREAKEVEN","OK")))</f>
        <v/>
      </c>
    </row>
    <row r="181" customFormat="false" ht="15" hidden="false" customHeight="false" outlineLevel="0" collapsed="false">
      <c r="B181" s="9"/>
      <c r="C181" s="22"/>
      <c r="D181" s="25"/>
      <c r="E181" s="22"/>
      <c r="F181" s="25"/>
      <c r="G181" s="11" t="str">
        <f aca="false">IF(COUNT(C181:F181)&lt;4,"",IF(AND(E181=0,OR(C181&gt;=$C$23,D181&gt;=$C$24)),"ADD AS NEGATIVE",IF(AND(F181&gt;0,D181/F181&gt;$C$8),"ACOS &gt; BREAKEVEN","OK")))</f>
        <v/>
      </c>
    </row>
    <row r="182" customFormat="false" ht="15" hidden="false" customHeight="false" outlineLevel="0" collapsed="false">
      <c r="B182" s="9"/>
      <c r="C182" s="22"/>
      <c r="D182" s="25"/>
      <c r="E182" s="22"/>
      <c r="F182" s="25"/>
      <c r="G182" s="11" t="str">
        <f aca="false">IF(COUNT(C182:F182)&lt;4,"",IF(AND(E182=0,OR(C182&gt;=$C$23,D182&gt;=$C$24)),"ADD AS NEGATIVE",IF(AND(F182&gt;0,D182/F182&gt;$C$8),"ACOS &gt; BREAKEVEN","OK")))</f>
        <v/>
      </c>
    </row>
    <row r="183" customFormat="false" ht="15" hidden="false" customHeight="false" outlineLevel="0" collapsed="false">
      <c r="B183" s="9"/>
      <c r="C183" s="22"/>
      <c r="D183" s="25"/>
      <c r="E183" s="22"/>
      <c r="F183" s="25"/>
      <c r="G183" s="11" t="str">
        <f aca="false">IF(COUNT(C183:F183)&lt;4,"",IF(AND(E183=0,OR(C183&gt;=$C$23,D183&gt;=$C$24)),"ADD AS NEGATIVE",IF(AND(F183&gt;0,D183/F183&gt;$C$8),"ACOS &gt; BREAKEVEN","OK")))</f>
        <v/>
      </c>
    </row>
    <row r="184" customFormat="false" ht="15" hidden="false" customHeight="false" outlineLevel="0" collapsed="false">
      <c r="B184" s="9"/>
      <c r="C184" s="22"/>
      <c r="D184" s="25"/>
      <c r="E184" s="22"/>
      <c r="F184" s="25"/>
      <c r="G184" s="11" t="str">
        <f aca="false">IF(COUNT(C184:F184)&lt;4,"",IF(AND(E184=0,OR(C184&gt;=$C$23,D184&gt;=$C$24)),"ADD AS NEGATIVE",IF(AND(F184&gt;0,D184/F184&gt;$C$8),"ACOS &gt; BREAKEVEN","OK")))</f>
        <v/>
      </c>
    </row>
    <row r="185" customFormat="false" ht="15" hidden="false" customHeight="false" outlineLevel="0" collapsed="false">
      <c r="B185" s="9"/>
      <c r="C185" s="22"/>
      <c r="D185" s="25"/>
      <c r="E185" s="22"/>
      <c r="F185" s="25"/>
      <c r="G185" s="11" t="str">
        <f aca="false">IF(COUNT(C185:F185)&lt;4,"",IF(AND(E185=0,OR(C185&gt;=$C$23,D185&gt;=$C$24)),"ADD AS NEGATIVE",IF(AND(F185&gt;0,D185/F185&gt;$C$8),"ACOS &gt; BREAKEVEN","OK")))</f>
        <v/>
      </c>
    </row>
    <row r="186" customFormat="false" ht="15" hidden="false" customHeight="false" outlineLevel="0" collapsed="false">
      <c r="B186" s="9"/>
      <c r="C186" s="22"/>
      <c r="D186" s="25"/>
      <c r="E186" s="22"/>
      <c r="F186" s="25"/>
      <c r="G186" s="11" t="str">
        <f aca="false">IF(COUNT(C186:F186)&lt;4,"",IF(AND(E186=0,OR(C186&gt;=$C$23,D186&gt;=$C$24)),"ADD AS NEGATIVE",IF(AND(F186&gt;0,D186/F186&gt;$C$8),"ACOS &gt; BREAKEVEN","OK")))</f>
        <v/>
      </c>
    </row>
    <row r="187" customFormat="false" ht="15" hidden="false" customHeight="false" outlineLevel="0" collapsed="false">
      <c r="B187" s="9"/>
      <c r="C187" s="22"/>
      <c r="D187" s="25"/>
      <c r="E187" s="22"/>
      <c r="F187" s="25"/>
      <c r="G187" s="11" t="str">
        <f aca="false">IF(COUNT(C187:F187)&lt;4,"",IF(AND(E187=0,OR(C187&gt;=$C$23,D187&gt;=$C$24)),"ADD AS NEGATIVE",IF(AND(F187&gt;0,D187/F187&gt;$C$8),"ACOS &gt; BREAKEVEN","OK")))</f>
        <v/>
      </c>
    </row>
    <row r="188" customFormat="false" ht="15" hidden="false" customHeight="false" outlineLevel="0" collapsed="false">
      <c r="B188" s="9"/>
      <c r="C188" s="22"/>
      <c r="D188" s="25"/>
      <c r="E188" s="22"/>
      <c r="F188" s="25"/>
      <c r="G188" s="11" t="str">
        <f aca="false">IF(COUNT(C188:F188)&lt;4,"",IF(AND(E188=0,OR(C188&gt;=$C$23,D188&gt;=$C$24)),"ADD AS NEGATIVE",IF(AND(F188&gt;0,D188/F188&gt;$C$8),"ACOS &gt; BREAKEVEN","OK")))</f>
        <v/>
      </c>
    </row>
    <row r="189" customFormat="false" ht="15" hidden="false" customHeight="false" outlineLevel="0" collapsed="false">
      <c r="B189" s="9"/>
      <c r="C189" s="22"/>
      <c r="D189" s="25"/>
      <c r="E189" s="22"/>
      <c r="F189" s="25"/>
      <c r="G189" s="11" t="str">
        <f aca="false">IF(COUNT(C189:F189)&lt;4,"",IF(AND(E189=0,OR(C189&gt;=$C$23,D189&gt;=$C$24)),"ADD AS NEGATIVE",IF(AND(F189&gt;0,D189/F189&gt;$C$8),"ACOS &gt; BREAKEVEN","OK")))</f>
        <v/>
      </c>
    </row>
    <row r="190" customFormat="false" ht="15" hidden="false" customHeight="false" outlineLevel="0" collapsed="false">
      <c r="B190" s="9"/>
      <c r="C190" s="22"/>
      <c r="D190" s="25"/>
      <c r="E190" s="22"/>
      <c r="F190" s="25"/>
      <c r="G190" s="11" t="str">
        <f aca="false">IF(COUNT(C190:F190)&lt;4,"",IF(AND(E190=0,OR(C190&gt;=$C$23,D190&gt;=$C$24)),"ADD AS NEGATIVE",IF(AND(F190&gt;0,D190/F190&gt;$C$8),"ACOS &gt; BREAKEVEN","OK")))</f>
        <v/>
      </c>
    </row>
    <row r="191" customFormat="false" ht="15" hidden="false" customHeight="false" outlineLevel="0" collapsed="false">
      <c r="B191" s="9"/>
      <c r="C191" s="22"/>
      <c r="D191" s="25"/>
      <c r="E191" s="22"/>
      <c r="F191" s="25"/>
      <c r="G191" s="11" t="str">
        <f aca="false">IF(COUNT(C191:F191)&lt;4,"",IF(AND(E191=0,OR(C191&gt;=$C$23,D191&gt;=$C$24)),"ADD AS NEGATIVE",IF(AND(F191&gt;0,D191/F191&gt;$C$8),"ACOS &gt; BREAKEVEN","OK")))</f>
        <v/>
      </c>
    </row>
    <row r="192" customFormat="false" ht="15" hidden="false" customHeight="false" outlineLevel="0" collapsed="false">
      <c r="B192" s="9"/>
      <c r="C192" s="22"/>
      <c r="D192" s="25"/>
      <c r="E192" s="22"/>
      <c r="F192" s="25"/>
      <c r="G192" s="11" t="str">
        <f aca="false">IF(COUNT(C192:F192)&lt;4,"",IF(AND(E192=0,OR(C192&gt;=$C$23,D192&gt;=$C$24)),"ADD AS NEGATIVE",IF(AND(F192&gt;0,D192/F192&gt;$C$8),"ACOS &gt; BREAKEVEN","OK")))</f>
        <v/>
      </c>
    </row>
    <row r="193" customFormat="false" ht="15" hidden="false" customHeight="false" outlineLevel="0" collapsed="false">
      <c r="B193" s="9"/>
      <c r="C193" s="22"/>
      <c r="D193" s="25"/>
      <c r="E193" s="22"/>
      <c r="F193" s="25"/>
      <c r="G193" s="11" t="str">
        <f aca="false">IF(COUNT(C193:F193)&lt;4,"",IF(AND(E193=0,OR(C193&gt;=$C$23,D193&gt;=$C$24)),"ADD AS NEGATIVE",IF(AND(F193&gt;0,D193/F193&gt;$C$8),"ACOS &gt; BREAKEVEN","OK")))</f>
        <v/>
      </c>
    </row>
    <row r="194" customFormat="false" ht="15" hidden="false" customHeight="false" outlineLevel="0" collapsed="false">
      <c r="B194" s="9"/>
      <c r="C194" s="22"/>
      <c r="D194" s="25"/>
      <c r="E194" s="22"/>
      <c r="F194" s="25"/>
      <c r="G194" s="11" t="str">
        <f aca="false">IF(COUNT(C194:F194)&lt;4,"",IF(AND(E194=0,OR(C194&gt;=$C$23,D194&gt;=$C$24)),"ADD AS NEGATIVE",IF(AND(F194&gt;0,D194/F194&gt;$C$8),"ACOS &gt; BREAKEVEN","OK")))</f>
        <v/>
      </c>
    </row>
    <row r="195" customFormat="false" ht="15" hidden="false" customHeight="false" outlineLevel="0" collapsed="false">
      <c r="B195" s="9"/>
      <c r="C195" s="22"/>
      <c r="D195" s="25"/>
      <c r="E195" s="22"/>
      <c r="F195" s="25"/>
      <c r="G195" s="11" t="str">
        <f aca="false">IF(COUNT(C195:F195)&lt;4,"",IF(AND(E195=0,OR(C195&gt;=$C$23,D195&gt;=$C$24)),"ADD AS NEGATIVE",IF(AND(F195&gt;0,D195/F195&gt;$C$8),"ACOS &gt; BREAKEVEN","OK")))</f>
        <v/>
      </c>
    </row>
    <row r="196" customFormat="false" ht="15" hidden="false" customHeight="false" outlineLevel="0" collapsed="false">
      <c r="B196" s="9"/>
      <c r="C196" s="22"/>
      <c r="D196" s="25"/>
      <c r="E196" s="22"/>
      <c r="F196" s="25"/>
      <c r="G196" s="11" t="str">
        <f aca="false">IF(COUNT(C196:F196)&lt;4,"",IF(AND(E196=0,OR(C196&gt;=$C$23,D196&gt;=$C$24)),"ADD AS NEGATIVE",IF(AND(F196&gt;0,D196/F196&gt;$C$8),"ACOS &gt; BREAKEVEN","OK")))</f>
        <v/>
      </c>
    </row>
    <row r="197" customFormat="false" ht="15" hidden="false" customHeight="false" outlineLevel="0" collapsed="false">
      <c r="B197" s="9"/>
      <c r="C197" s="22"/>
      <c r="D197" s="25"/>
      <c r="E197" s="22"/>
      <c r="F197" s="25"/>
      <c r="G197" s="11" t="str">
        <f aca="false">IF(COUNT(C197:F197)&lt;4,"",IF(AND(E197=0,OR(C197&gt;=$C$23,D197&gt;=$C$24)),"ADD AS NEGATIVE",IF(AND(F197&gt;0,D197/F197&gt;$C$8),"ACOS &gt; BREAKEVEN","OK")))</f>
        <v/>
      </c>
    </row>
    <row r="198" customFormat="false" ht="15" hidden="false" customHeight="false" outlineLevel="0" collapsed="false">
      <c r="B198" s="9"/>
      <c r="C198" s="22"/>
      <c r="D198" s="25"/>
      <c r="E198" s="22"/>
      <c r="F198" s="25"/>
      <c r="G198" s="11" t="str">
        <f aca="false">IF(COUNT(C198:F198)&lt;4,"",IF(AND(E198=0,OR(C198&gt;=$C$23,D198&gt;=$C$24)),"ADD AS NEGATIVE",IF(AND(F198&gt;0,D198/F198&gt;$C$8),"ACOS &gt; BREAKEVEN","OK")))</f>
        <v/>
      </c>
    </row>
    <row r="199" customFormat="false" ht="15" hidden="false" customHeight="false" outlineLevel="0" collapsed="false">
      <c r="B199" s="9"/>
      <c r="C199" s="22"/>
      <c r="D199" s="25"/>
      <c r="E199" s="22"/>
      <c r="F199" s="25"/>
      <c r="G199" s="11" t="str">
        <f aca="false">IF(COUNT(C199:F199)&lt;4,"",IF(AND(E199=0,OR(C199&gt;=$C$23,D199&gt;=$C$24)),"ADD AS NEGATIVE",IF(AND(F199&gt;0,D199/F199&gt;$C$8),"ACOS &gt; BREAKEVEN","OK")))</f>
        <v/>
      </c>
    </row>
    <row r="200" customFormat="false" ht="15" hidden="false" customHeight="false" outlineLevel="0" collapsed="false">
      <c r="B200" s="9"/>
      <c r="C200" s="22"/>
      <c r="D200" s="25"/>
      <c r="E200" s="22"/>
      <c r="F200" s="25"/>
      <c r="G200" s="11" t="str">
        <f aca="false">IF(COUNT(C200:F200)&lt;4,"",IF(AND(E200=0,OR(C200&gt;=$C$23,D200&gt;=$C$24)),"ADD AS NEGATIVE",IF(AND(F200&gt;0,D200/F200&gt;$C$8),"ACOS &gt; BREAKEVEN","OK")))</f>
        <v/>
      </c>
    </row>
    <row r="201" customFormat="false" ht="15" hidden="false" customHeight="false" outlineLevel="0" collapsed="false">
      <c r="B201" s="9"/>
      <c r="C201" s="22"/>
      <c r="D201" s="25"/>
      <c r="E201" s="22"/>
      <c r="F201" s="25"/>
      <c r="G201" s="11" t="str">
        <f aca="false">IF(COUNT(C201:F201)&lt;4,"",IF(AND(E201=0,OR(C201&gt;=$C$23,D201&gt;=$C$24)),"ADD AS NEGATIVE",IF(AND(F201&gt;0,D201/F201&gt;$C$8),"ACOS &gt; BREAKEVEN","OK")))</f>
        <v/>
      </c>
    </row>
    <row r="202" customFormat="false" ht="15" hidden="false" customHeight="false" outlineLevel="0" collapsed="false">
      <c r="B202" s="9"/>
      <c r="C202" s="22"/>
      <c r="D202" s="25"/>
      <c r="E202" s="22"/>
      <c r="F202" s="25"/>
      <c r="G202" s="11" t="str">
        <f aca="false">IF(COUNT(C202:F202)&lt;4,"",IF(AND(E202=0,OR(C202&gt;=$C$23,D202&gt;=$C$24)),"ADD AS NEGATIVE",IF(AND(F202&gt;0,D202/F202&gt;$C$8),"ACOS &gt; BREAKEVEN","OK")))</f>
        <v/>
      </c>
    </row>
    <row r="203" customFormat="false" ht="15" hidden="false" customHeight="false" outlineLevel="0" collapsed="false">
      <c r="B203" s="9"/>
      <c r="C203" s="22"/>
      <c r="D203" s="25"/>
      <c r="E203" s="22"/>
      <c r="F203" s="25"/>
      <c r="G203" s="11" t="str">
        <f aca="false">IF(COUNT(C203:F203)&lt;4,"",IF(AND(E203=0,OR(C203&gt;=$C$23,D203&gt;=$C$24)),"ADD AS NEGATIVE",IF(AND(F203&gt;0,D203/F203&gt;$C$8),"ACOS &gt; BREAKEVEN","OK")))</f>
        <v/>
      </c>
    </row>
    <row r="204" customFormat="false" ht="15" hidden="false" customHeight="false" outlineLevel="0" collapsed="false">
      <c r="B204" s="9"/>
      <c r="C204" s="22"/>
      <c r="D204" s="25"/>
      <c r="E204" s="22"/>
      <c r="F204" s="25"/>
      <c r="G204" s="11" t="str">
        <f aca="false">IF(COUNT(C204:F204)&lt;4,"",IF(AND(E204=0,OR(C204&gt;=$C$23,D204&gt;=$C$24)),"ADD AS NEGATIVE",IF(AND(F204&gt;0,D204/F204&gt;$C$8),"ACOS &gt; BREAKEVEN","OK")))</f>
        <v/>
      </c>
    </row>
    <row r="205" customFormat="false" ht="15" hidden="false" customHeight="false" outlineLevel="0" collapsed="false">
      <c r="B205" s="9"/>
      <c r="C205" s="22"/>
      <c r="D205" s="25"/>
      <c r="E205" s="22"/>
      <c r="F205" s="25"/>
      <c r="G205" s="11" t="str">
        <f aca="false">IF(COUNT(C205:F205)&lt;4,"",IF(AND(E205=0,OR(C205&gt;=$C$23,D205&gt;=$C$24)),"ADD AS NEGATIVE",IF(AND(F205&gt;0,D205/F205&gt;$C$8),"ACOS &gt; BREAKEVEN","OK")))</f>
        <v/>
      </c>
    </row>
    <row r="206" customFormat="false" ht="15" hidden="false" customHeight="false" outlineLevel="0" collapsed="false">
      <c r="B206" s="9"/>
      <c r="C206" s="22"/>
      <c r="D206" s="25"/>
      <c r="E206" s="22"/>
      <c r="F206" s="25"/>
      <c r="G206" s="11" t="str">
        <f aca="false">IF(COUNT(C206:F206)&lt;4,"",IF(AND(E206=0,OR(C206&gt;=$C$23,D206&gt;=$C$24)),"ADD AS NEGATIVE",IF(AND(F206&gt;0,D206/F206&gt;$C$8),"ACOS &gt; BREAKEVEN","OK")))</f>
        <v/>
      </c>
    </row>
    <row r="207" customFormat="false" ht="15" hidden="false" customHeight="false" outlineLevel="0" collapsed="false">
      <c r="B207" s="9"/>
      <c r="C207" s="22"/>
      <c r="D207" s="25"/>
      <c r="E207" s="22"/>
      <c r="F207" s="25"/>
      <c r="G207" s="11" t="str">
        <f aca="false">IF(COUNT(C207:F207)&lt;4,"",IF(AND(E207=0,OR(C207&gt;=$C$23,D207&gt;=$C$24)),"ADD AS NEGATIVE",IF(AND(F207&gt;0,D207/F207&gt;$C$8),"ACOS &gt; BREAKEVEN","OK")))</f>
        <v/>
      </c>
    </row>
    <row r="208" customFormat="false" ht="15" hidden="false" customHeight="false" outlineLevel="0" collapsed="false">
      <c r="B208" s="9"/>
      <c r="C208" s="22"/>
      <c r="D208" s="25"/>
      <c r="E208" s="22"/>
      <c r="F208" s="25"/>
      <c r="G208" s="11" t="str">
        <f aca="false">IF(COUNT(C208:F208)&lt;4,"",IF(AND(E208=0,OR(C208&gt;=$C$23,D208&gt;=$C$24)),"ADD AS NEGATIVE",IF(AND(F208&gt;0,D208/F208&gt;$C$8),"ACOS &gt; BREAKEVEN","OK")))</f>
        <v/>
      </c>
    </row>
    <row r="209" customFormat="false" ht="15" hidden="false" customHeight="false" outlineLevel="0" collapsed="false">
      <c r="B209" s="9"/>
      <c r="C209" s="22"/>
      <c r="D209" s="25"/>
      <c r="E209" s="22"/>
      <c r="F209" s="25"/>
      <c r="G209" s="11" t="str">
        <f aca="false">IF(COUNT(C209:F209)&lt;4,"",IF(AND(E209=0,OR(C209&gt;=$C$23,D209&gt;=$C$24)),"ADD AS NEGATIVE",IF(AND(F209&gt;0,D209/F209&gt;$C$8),"ACOS &gt; BREAKEVEN","OK")))</f>
        <v/>
      </c>
    </row>
    <row r="210" customFormat="false" ht="15" hidden="false" customHeight="false" outlineLevel="0" collapsed="false">
      <c r="B210" s="9"/>
      <c r="C210" s="22"/>
      <c r="D210" s="25"/>
      <c r="E210" s="22"/>
      <c r="F210" s="25"/>
      <c r="G210" s="11" t="str">
        <f aca="false">IF(COUNT(C210:F210)&lt;4,"",IF(AND(E210=0,OR(C210&gt;=$C$23,D210&gt;=$C$24)),"ADD AS NEGATIVE",IF(AND(F210&gt;0,D210/F210&gt;$C$8),"ACOS &gt; BREAKEVEN","OK")))</f>
        <v/>
      </c>
    </row>
    <row r="211" customFormat="false" ht="15" hidden="false" customHeight="false" outlineLevel="0" collapsed="false">
      <c r="B211" s="9"/>
      <c r="C211" s="22"/>
      <c r="D211" s="25"/>
      <c r="E211" s="22"/>
      <c r="F211" s="25"/>
      <c r="G211" s="11" t="str">
        <f aca="false">IF(COUNT(C211:F211)&lt;4,"",IF(AND(E211=0,OR(C211&gt;=$C$23,D211&gt;=$C$24)),"ADD AS NEGATIVE",IF(AND(F211&gt;0,D211/F211&gt;$C$8),"ACOS &gt; BREAKEVEN","OK")))</f>
        <v/>
      </c>
    </row>
    <row r="212" customFormat="false" ht="15" hidden="false" customHeight="false" outlineLevel="0" collapsed="false">
      <c r="B212" s="9"/>
      <c r="C212" s="22"/>
      <c r="D212" s="25"/>
      <c r="E212" s="22"/>
      <c r="F212" s="25"/>
      <c r="G212" s="11" t="str">
        <f aca="false">IF(COUNT(C212:F212)&lt;4,"",IF(AND(E212=0,OR(C212&gt;=$C$23,D212&gt;=$C$24)),"ADD AS NEGATIVE",IF(AND(F212&gt;0,D212/F212&gt;$C$8),"ACOS &gt; BREAKEVEN","OK")))</f>
        <v/>
      </c>
    </row>
    <row r="213" customFormat="false" ht="15" hidden="false" customHeight="false" outlineLevel="0" collapsed="false">
      <c r="B213" s="9"/>
      <c r="C213" s="22"/>
      <c r="D213" s="25"/>
      <c r="E213" s="22"/>
      <c r="F213" s="25"/>
      <c r="G213" s="11" t="str">
        <f aca="false">IF(COUNT(C213:F213)&lt;4,"",IF(AND(E213=0,OR(C213&gt;=$C$23,D213&gt;=$C$24)),"ADD AS NEGATIVE",IF(AND(F213&gt;0,D213/F213&gt;$C$8),"ACOS &gt; BREAKEVEN","OK")))</f>
        <v/>
      </c>
    </row>
    <row r="214" customFormat="false" ht="15" hidden="false" customHeight="false" outlineLevel="0" collapsed="false">
      <c r="B214" s="9"/>
      <c r="C214" s="22"/>
      <c r="D214" s="25"/>
      <c r="E214" s="22"/>
      <c r="F214" s="25"/>
      <c r="G214" s="11" t="str">
        <f aca="false">IF(COUNT(C214:F214)&lt;4,"",IF(AND(E214=0,OR(C214&gt;=$C$23,D214&gt;=$C$24)),"ADD AS NEGATIVE",IF(AND(F214&gt;0,D214/F214&gt;$C$8),"ACOS &gt; BREAKEVEN","OK")))</f>
        <v/>
      </c>
    </row>
    <row r="215" customFormat="false" ht="15" hidden="false" customHeight="false" outlineLevel="0" collapsed="false">
      <c r="B215" s="9"/>
      <c r="C215" s="22"/>
      <c r="D215" s="25"/>
      <c r="E215" s="22"/>
      <c r="F215" s="25"/>
      <c r="G215" s="11" t="str">
        <f aca="false">IF(COUNT(C215:F215)&lt;4,"",IF(AND(E215=0,OR(C215&gt;=$C$23,D215&gt;=$C$24)),"ADD AS NEGATIVE",IF(AND(F215&gt;0,D215/F215&gt;$C$8),"ACOS &gt; BREAKEVEN","OK")))</f>
        <v/>
      </c>
    </row>
    <row r="216" customFormat="false" ht="15" hidden="false" customHeight="false" outlineLevel="0" collapsed="false">
      <c r="B216" s="9"/>
      <c r="C216" s="22"/>
      <c r="D216" s="25"/>
      <c r="E216" s="22"/>
      <c r="F216" s="25"/>
      <c r="G216" s="11" t="str">
        <f aca="false">IF(COUNT(C216:F216)&lt;4,"",IF(AND(E216=0,OR(C216&gt;=$C$23,D216&gt;=$C$24)),"ADD AS NEGATIVE",IF(AND(F216&gt;0,D216/F216&gt;$C$8),"ACOS &gt; BREAKEVEN","OK")))</f>
        <v/>
      </c>
    </row>
    <row r="217" customFormat="false" ht="15" hidden="false" customHeight="false" outlineLevel="0" collapsed="false">
      <c r="B217" s="9"/>
      <c r="C217" s="22"/>
      <c r="D217" s="25"/>
      <c r="E217" s="22"/>
      <c r="F217" s="25"/>
      <c r="G217" s="11" t="str">
        <f aca="false">IF(COUNT(C217:F217)&lt;4,"",IF(AND(E217=0,OR(C217&gt;=$C$23,D217&gt;=$C$24)),"ADD AS NEGATIVE",IF(AND(F217&gt;0,D217/F217&gt;$C$8),"ACOS &gt; BREAKEVEN","OK")))</f>
        <v/>
      </c>
    </row>
    <row r="218" customFormat="false" ht="15" hidden="false" customHeight="false" outlineLevel="0" collapsed="false">
      <c r="B218" s="9"/>
      <c r="C218" s="22"/>
      <c r="D218" s="25"/>
      <c r="E218" s="22"/>
      <c r="F218" s="25"/>
      <c r="G218" s="11" t="str">
        <f aca="false">IF(COUNT(C218:F218)&lt;4,"",IF(AND(E218=0,OR(C218&gt;=$C$23,D218&gt;=$C$24)),"ADD AS NEGATIVE",IF(AND(F218&gt;0,D218/F218&gt;$C$8),"ACOS &gt; BREAKEVEN","OK")))</f>
        <v/>
      </c>
    </row>
    <row r="219" customFormat="false" ht="15" hidden="false" customHeight="false" outlineLevel="0" collapsed="false">
      <c r="B219" s="9"/>
      <c r="C219" s="22"/>
      <c r="D219" s="25"/>
      <c r="E219" s="22"/>
      <c r="F219" s="25"/>
      <c r="G219" s="11" t="str">
        <f aca="false">IF(COUNT(C219:F219)&lt;4,"",IF(AND(E219=0,OR(C219&gt;=$C$23,D219&gt;=$C$24)),"ADD AS NEGATIVE",IF(AND(F219&gt;0,D219/F219&gt;$C$8),"ACOS &gt; BREAKEVEN","OK")))</f>
        <v/>
      </c>
    </row>
    <row r="220" customFormat="false" ht="15" hidden="false" customHeight="false" outlineLevel="0" collapsed="false">
      <c r="B220" s="9"/>
      <c r="C220" s="22"/>
      <c r="D220" s="25"/>
      <c r="E220" s="22"/>
      <c r="F220" s="25"/>
      <c r="G220" s="11" t="str">
        <f aca="false">IF(COUNT(C220:F220)&lt;4,"",IF(AND(E220=0,OR(C220&gt;=$C$23,D220&gt;=$C$24)),"ADD AS NEGATIVE",IF(AND(F220&gt;0,D220/F220&gt;$C$8),"ACOS &gt; BREAKEVEN","OK")))</f>
        <v/>
      </c>
    </row>
    <row r="221" customFormat="false" ht="15" hidden="false" customHeight="false" outlineLevel="0" collapsed="false">
      <c r="B221" s="9"/>
      <c r="C221" s="22"/>
      <c r="D221" s="25"/>
      <c r="E221" s="22"/>
      <c r="F221" s="25"/>
      <c r="G221" s="11" t="str">
        <f aca="false">IF(COUNT(C221:F221)&lt;4,"",IF(AND(E221=0,OR(C221&gt;=$C$23,D221&gt;=$C$24)),"ADD AS NEGATIVE",IF(AND(F221&gt;0,D221/F221&gt;$C$8),"ACOS &gt; BREAKEVEN","OK")))</f>
        <v/>
      </c>
    </row>
    <row r="222" customFormat="false" ht="15" hidden="false" customHeight="false" outlineLevel="0" collapsed="false">
      <c r="B222" s="9"/>
      <c r="C222" s="22"/>
      <c r="D222" s="25"/>
      <c r="E222" s="22"/>
      <c r="F222" s="25"/>
      <c r="G222" s="11" t="str">
        <f aca="false">IF(COUNT(C222:F222)&lt;4,"",IF(AND(E222=0,OR(C222&gt;=$C$23,D222&gt;=$C$24)),"ADD AS NEGATIVE",IF(AND(F222&gt;0,D222/F222&gt;$C$8),"ACOS &gt; BREAKEVEN","OK")))</f>
        <v/>
      </c>
    </row>
    <row r="223" customFormat="false" ht="15" hidden="false" customHeight="false" outlineLevel="0" collapsed="false">
      <c r="B223" s="9"/>
      <c r="C223" s="22"/>
      <c r="D223" s="25"/>
      <c r="E223" s="22"/>
      <c r="F223" s="25"/>
      <c r="G223" s="11" t="str">
        <f aca="false">IF(COUNT(C223:F223)&lt;4,"",IF(AND(E223=0,OR(C223&gt;=$C$23,D223&gt;=$C$24)),"ADD AS NEGATIVE",IF(AND(F223&gt;0,D223/F223&gt;$C$8),"ACOS &gt; BREAKEVEN","OK")))</f>
        <v/>
      </c>
    </row>
    <row r="224" customFormat="false" ht="15" hidden="false" customHeight="false" outlineLevel="0" collapsed="false">
      <c r="B224" s="9"/>
      <c r="C224" s="22"/>
      <c r="D224" s="25"/>
      <c r="E224" s="22"/>
      <c r="F224" s="25"/>
      <c r="G224" s="11" t="str">
        <f aca="false">IF(COUNT(C224:F224)&lt;4,"",IF(AND(E224=0,OR(C224&gt;=$C$23,D224&gt;=$C$24)),"ADD AS NEGATIVE",IF(AND(F224&gt;0,D224/F224&gt;$C$8),"ACOS &gt; BREAKEVEN","OK")))</f>
        <v/>
      </c>
    </row>
    <row r="225" customFormat="false" ht="15" hidden="false" customHeight="false" outlineLevel="0" collapsed="false">
      <c r="B225" s="9"/>
      <c r="C225" s="22"/>
      <c r="D225" s="25"/>
      <c r="E225" s="22"/>
      <c r="F225" s="25"/>
      <c r="G225" s="11" t="str">
        <f aca="false">IF(COUNT(C225:F225)&lt;4,"",IF(AND(E225=0,OR(C225&gt;=$C$23,D225&gt;=$C$24)),"ADD AS NEGATIVE",IF(AND(F225&gt;0,D225/F225&gt;$C$8),"ACOS &gt; BREAKEVEN","OK")))</f>
        <v/>
      </c>
    </row>
    <row r="226" customFormat="false" ht="15" hidden="false" customHeight="false" outlineLevel="0" collapsed="false">
      <c r="B226" s="9"/>
      <c r="C226" s="22"/>
      <c r="D226" s="25"/>
      <c r="E226" s="22"/>
      <c r="F226" s="25"/>
      <c r="G226" s="11" t="str">
        <f aca="false">IF(COUNT(C226:F226)&lt;4,"",IF(AND(E226=0,OR(C226&gt;=$C$23,D226&gt;=$C$24)),"ADD AS NEGATIVE",IF(AND(F226&gt;0,D226/F226&gt;$C$8),"ACOS &gt; BREAKEVEN","OK")))</f>
        <v/>
      </c>
    </row>
    <row r="227" customFormat="false" ht="15" hidden="false" customHeight="false" outlineLevel="0" collapsed="false">
      <c r="B227" s="9"/>
      <c r="C227" s="22"/>
      <c r="D227" s="25"/>
      <c r="E227" s="22"/>
      <c r="F227" s="25"/>
      <c r="G227" s="11" t="str">
        <f aca="false">IF(COUNT(C227:F227)&lt;4,"",IF(AND(E227=0,OR(C227&gt;=$C$23,D227&gt;=$C$24)),"ADD AS NEGATIVE",IF(AND(F227&gt;0,D227/F227&gt;$C$8),"ACOS &gt; BREAKEVEN","OK")))</f>
        <v/>
      </c>
    </row>
    <row r="228" customFormat="false" ht="15" hidden="false" customHeight="false" outlineLevel="0" collapsed="false">
      <c r="B228" s="9"/>
      <c r="C228" s="22"/>
      <c r="D228" s="25"/>
      <c r="E228" s="22"/>
      <c r="F228" s="25"/>
      <c r="G228" s="11" t="str">
        <f aca="false">IF(COUNT(C228:F228)&lt;4,"",IF(AND(E228=0,OR(C228&gt;=$C$23,D228&gt;=$C$24)),"ADD AS NEGATIVE",IF(AND(F228&gt;0,D228/F228&gt;$C$8),"ACOS &gt; BREAKEVEN","OK")))</f>
        <v/>
      </c>
    </row>
    <row r="229" customFormat="false" ht="15" hidden="false" customHeight="false" outlineLevel="0" collapsed="false">
      <c r="B229" s="9"/>
      <c r="C229" s="22"/>
      <c r="D229" s="25"/>
      <c r="E229" s="22"/>
      <c r="F229" s="25"/>
      <c r="G229" s="11" t="str">
        <f aca="false">IF(COUNT(C229:F229)&lt;4,"",IF(AND(E229=0,OR(C229&gt;=$C$23,D229&gt;=$C$24)),"ADD AS NEGATIVE",IF(AND(F229&gt;0,D229/F229&gt;$C$8),"ACOS &gt; BREAKEVEN","OK")))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B1:I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9"/>
    <col collapsed="false" customWidth="true" hidden="false" outlineLevel="0" max="7" min="3" style="0" width="13"/>
    <col collapsed="false" customWidth="true" hidden="false" outlineLevel="0" max="8" min="8" style="0" width="14"/>
    <col collapsed="false" customWidth="true" hidden="false" outlineLevel="0" max="9" min="9" style="0" width="40"/>
  </cols>
  <sheetData>
    <row r="1" customFormat="false" ht="15" hidden="false" customHeight="false" outlineLevel="0" collapsed="false">
      <c r="B1" s="6" t="str">
        <f aca="false">HYPERLINK("#Start!B2","← Start")</f>
        <v>← Start</v>
      </c>
    </row>
    <row r="2" customFormat="false" ht="15" hidden="false" customHeight="false" outlineLevel="0" collapsed="false">
      <c r="B2" s="1" t="s">
        <v>341</v>
      </c>
    </row>
    <row r="3" customFormat="false" ht="147" hidden="false" customHeight="false" outlineLevel="0" collapsed="false">
      <c r="B3" s="2" t="s">
        <v>342</v>
      </c>
    </row>
    <row r="5" customFormat="false" ht="15" hidden="false" customHeight="false" outlineLevel="0" collapsed="false">
      <c r="B5" s="4" t="s">
        <v>128</v>
      </c>
      <c r="C5" s="4"/>
    </row>
    <row r="6" customFormat="false" ht="15" hidden="false" customHeight="false" outlineLevel="0" collapsed="false">
      <c r="B6" s="11" t="s">
        <v>343</v>
      </c>
      <c r="C6" s="32" t="n">
        <f aca="false">'6 Order size'!C24</f>
        <v>386</v>
      </c>
    </row>
    <row r="7" customFormat="false" ht="15" hidden="false" customHeight="false" outlineLevel="0" collapsed="false">
      <c r="B7" s="11" t="s">
        <v>163</v>
      </c>
      <c r="C7" s="31" t="n">
        <f aca="false">'6 Order size'!C15</f>
        <v>12.9294</v>
      </c>
    </row>
    <row r="8" customFormat="false" ht="15" hidden="false" customHeight="false" outlineLevel="0" collapsed="false">
      <c r="B8" s="11" t="s">
        <v>344</v>
      </c>
      <c r="C8" s="27" t="n">
        <f aca="false">IFERROR(C6*C7,"")</f>
        <v>4990.7484</v>
      </c>
    </row>
    <row r="9" customFormat="false" ht="15" hidden="false" customHeight="false" outlineLevel="0" collapsed="false">
      <c r="B9" s="11" t="s">
        <v>345</v>
      </c>
      <c r="C9" s="26" t="n">
        <v>0.3</v>
      </c>
    </row>
    <row r="10" customFormat="false" ht="15" hidden="false" customHeight="false" outlineLevel="0" collapsed="false">
      <c r="B10" s="11" t="s">
        <v>346</v>
      </c>
      <c r="C10" s="22" t="n">
        <v>2</v>
      </c>
    </row>
    <row r="11" customFormat="false" ht="15" hidden="false" customHeight="false" outlineLevel="0" collapsed="false">
      <c r="B11" s="11" t="s">
        <v>347</v>
      </c>
      <c r="C11" s="22" t="n">
        <v>3</v>
      </c>
    </row>
    <row r="12" customFormat="false" ht="15" hidden="false" customHeight="false" outlineLevel="0" collapsed="false">
      <c r="B12" s="11" t="s">
        <v>348</v>
      </c>
      <c r="C12" s="27" t="n">
        <f aca="false">IFERROR(ROUND(0.19*C8,0),"")</f>
        <v>948</v>
      </c>
    </row>
    <row r="13" customFormat="false" ht="15" hidden="false" customHeight="false" outlineLevel="0" collapsed="false">
      <c r="B13" s="11" t="s">
        <v>349</v>
      </c>
      <c r="C13" s="22" t="n">
        <v>2</v>
      </c>
    </row>
    <row r="14" customFormat="false" ht="15" hidden="false" customHeight="false" outlineLevel="0" collapsed="false">
      <c r="B14" s="11" t="s">
        <v>350</v>
      </c>
      <c r="C14" s="31" t="n">
        <f aca="false">'3 Unit economics'!C26</f>
        <v>33.7730882352941</v>
      </c>
    </row>
    <row r="15" customFormat="false" ht="15" hidden="false" customHeight="false" outlineLevel="0" collapsed="false">
      <c r="B15" s="11" t="s">
        <v>351</v>
      </c>
      <c r="C15" s="25" t="n">
        <v>6500</v>
      </c>
    </row>
    <row r="16" customFormat="false" ht="15" hidden="false" customHeight="false" outlineLevel="0" collapsed="false">
      <c r="B16" s="4" t="s">
        <v>64</v>
      </c>
      <c r="C16" s="4" t="s">
        <v>352</v>
      </c>
      <c r="D16" s="4" t="s">
        <v>353</v>
      </c>
      <c r="E16" s="4" t="s">
        <v>354</v>
      </c>
      <c r="F16" s="4" t="s">
        <v>355</v>
      </c>
      <c r="G16" s="4" t="s">
        <v>356</v>
      </c>
      <c r="H16" s="4" t="s">
        <v>357</v>
      </c>
    </row>
    <row r="17" customFormat="false" ht="22.35" hidden="false" customHeight="false" outlineLevel="0" collapsed="false">
      <c r="B17" s="20" t="n">
        <v>0</v>
      </c>
      <c r="C17" s="22" t="n">
        <v>0</v>
      </c>
      <c r="D17" s="12" t="n">
        <v>0</v>
      </c>
      <c r="E17" s="13" t="n">
        <f aca="false">ROUND(IF($B17=0,$C$9*$C$8,0)+IF($B17=$C$10,(1-$C$9)*$C$8,0)+IF($B17=$C$11,$C$12,0)+D17,0)</f>
        <v>1497</v>
      </c>
      <c r="F17" s="13" t="n">
        <f aca="false">ROUND(C17*$C$14+IF($B17=$C$11+$C$13,$C$12,0),0)</f>
        <v>0</v>
      </c>
      <c r="G17" s="13" t="n">
        <f aca="false">F17-E17</f>
        <v>-1497</v>
      </c>
      <c r="H17" s="17" t="n">
        <f aca="false">$C$15+G17</f>
        <v>5003</v>
      </c>
      <c r="I17" s="3" t="s">
        <v>358</v>
      </c>
    </row>
    <row r="18" customFormat="false" ht="15" hidden="false" customHeight="false" outlineLevel="0" collapsed="false">
      <c r="B18" s="20" t="n">
        <v>1</v>
      </c>
      <c r="C18" s="22" t="n">
        <v>0</v>
      </c>
      <c r="D18" s="12" t="n">
        <v>0</v>
      </c>
      <c r="E18" s="13" t="n">
        <f aca="false">ROUND(IF($B18=0,$C$9*$C$8,0)+IF($B18=$C$10,(1-$C$9)*$C$8,0)+IF($B18=$C$11,$C$12,0)+D18,0)</f>
        <v>0</v>
      </c>
      <c r="F18" s="13" t="n">
        <f aca="false">ROUND(C18*$C$14+IF($B18=$C$11+$C$13,$C$12,0),0)</f>
        <v>0</v>
      </c>
      <c r="G18" s="13" t="n">
        <f aca="false">F18-E18</f>
        <v>0</v>
      </c>
      <c r="H18" s="17" t="n">
        <f aca="false">H17+G18</f>
        <v>5003</v>
      </c>
    </row>
    <row r="19" customFormat="false" ht="15" hidden="false" customHeight="false" outlineLevel="0" collapsed="false">
      <c r="B19" s="20" t="n">
        <v>2</v>
      </c>
      <c r="C19" s="22" t="n">
        <v>0</v>
      </c>
      <c r="D19" s="12" t="n">
        <v>0</v>
      </c>
      <c r="E19" s="13" t="n">
        <f aca="false">ROUND(IF($B19=0,$C$9*$C$8,0)+IF($B19=$C$10,(1-$C$9)*$C$8,0)+IF($B19=$C$11,$C$12,0)+D19,0)</f>
        <v>3494</v>
      </c>
      <c r="F19" s="13" t="n">
        <f aca="false">ROUND(C19*$C$14+IF($B19=$C$11+$C$13,$C$12,0),0)</f>
        <v>0</v>
      </c>
      <c r="G19" s="13" t="n">
        <f aca="false">F19-E19</f>
        <v>-3494</v>
      </c>
      <c r="H19" s="17" t="n">
        <f aca="false">H18+G19</f>
        <v>1509</v>
      </c>
    </row>
    <row r="20" customFormat="false" ht="22.35" hidden="false" customHeight="false" outlineLevel="0" collapsed="false">
      <c r="B20" s="20" t="n">
        <v>3</v>
      </c>
      <c r="C20" s="22" t="n">
        <v>60</v>
      </c>
      <c r="D20" s="12" t="n">
        <v>700</v>
      </c>
      <c r="E20" s="13" t="n">
        <f aca="false">ROUND(IF($B20=0,$C$9*$C$8,0)+IF($B20=$C$10,(1-$C$9)*$C$8,0)+IF($B20=$C$11,$C$12,0)+D20,0)</f>
        <v>1648</v>
      </c>
      <c r="F20" s="13" t="n">
        <f aca="false">ROUND(C20*$C$14+IF($B20=$C$11+$C$13,$C$12,0),0)</f>
        <v>2026</v>
      </c>
      <c r="G20" s="13" t="n">
        <f aca="false">F20-E20</f>
        <v>378</v>
      </c>
      <c r="H20" s="17" t="n">
        <f aca="false">H19+G20</f>
        <v>1887</v>
      </c>
      <c r="I20" s="3" t="s">
        <v>359</v>
      </c>
    </row>
    <row r="21" customFormat="false" ht="15" hidden="false" customHeight="false" outlineLevel="0" collapsed="false">
      <c r="B21" s="20" t="n">
        <v>4</v>
      </c>
      <c r="C21" s="22" t="n">
        <v>90</v>
      </c>
      <c r="D21" s="12" t="n">
        <v>700</v>
      </c>
      <c r="E21" s="13" t="n">
        <f aca="false">ROUND(IF($B21=0,$C$9*$C$8,0)+IF($B21=$C$10,(1-$C$9)*$C$8,0)+IF($B21=$C$11,$C$12,0)+D21,0)</f>
        <v>700</v>
      </c>
      <c r="F21" s="13" t="n">
        <f aca="false">ROUND(C21*$C$14+IF($B21=$C$11+$C$13,$C$12,0),0)</f>
        <v>3040</v>
      </c>
      <c r="G21" s="13" t="n">
        <f aca="false">F21-E21</f>
        <v>2340</v>
      </c>
      <c r="H21" s="17" t="n">
        <f aca="false">H20+G21</f>
        <v>4227</v>
      </c>
    </row>
    <row r="22" customFormat="false" ht="15" hidden="false" customHeight="false" outlineLevel="0" collapsed="false">
      <c r="B22" s="20" t="n">
        <v>5</v>
      </c>
      <c r="C22" s="22" t="n">
        <v>110</v>
      </c>
      <c r="D22" s="12" t="n">
        <v>500</v>
      </c>
      <c r="E22" s="13" t="n">
        <f aca="false">ROUND(IF($B22=0,$C$9*$C$8,0)+IF($B22=$C$10,(1-$C$9)*$C$8,0)+IF($B22=$C$11,$C$12,0)+D22,0)</f>
        <v>500</v>
      </c>
      <c r="F22" s="13" t="n">
        <f aca="false">ROUND(C22*$C$14+IF($B22=$C$11+$C$13,$C$12,0),0)</f>
        <v>4663</v>
      </c>
      <c r="G22" s="13" t="n">
        <f aca="false">F22-E22</f>
        <v>4163</v>
      </c>
      <c r="H22" s="17" t="n">
        <f aca="false">H21+G22</f>
        <v>8390</v>
      </c>
    </row>
    <row r="23" customFormat="false" ht="15" hidden="false" customHeight="false" outlineLevel="0" collapsed="false">
      <c r="B23" s="20" t="n">
        <v>6</v>
      </c>
      <c r="C23" s="22" t="n">
        <v>120</v>
      </c>
      <c r="D23" s="12" t="n">
        <v>400</v>
      </c>
      <c r="E23" s="13" t="n">
        <f aca="false">ROUND(IF($B23=0,$C$9*$C$8,0)+IF($B23=$C$10,(1-$C$9)*$C$8,0)+IF($B23=$C$11,$C$12,0)+D23,0)</f>
        <v>400</v>
      </c>
      <c r="F23" s="13" t="n">
        <f aca="false">ROUND(C23*$C$14+IF($B23=$C$11+$C$13,$C$12,0),0)</f>
        <v>4053</v>
      </c>
      <c r="G23" s="13" t="n">
        <f aca="false">F23-E23</f>
        <v>3653</v>
      </c>
      <c r="H23" s="17" t="n">
        <f aca="false">H22+G23</f>
        <v>12043</v>
      </c>
    </row>
    <row r="24" customFormat="false" ht="15" hidden="false" customHeight="false" outlineLevel="0" collapsed="false">
      <c r="B24" s="20" t="n">
        <v>7</v>
      </c>
      <c r="C24" s="22" t="n">
        <v>120</v>
      </c>
      <c r="D24" s="12" t="n">
        <v>400</v>
      </c>
      <c r="E24" s="13" t="n">
        <f aca="false">ROUND(IF($B24=0,$C$9*$C$8,0)+IF($B24=$C$10,(1-$C$9)*$C$8,0)+IF($B24=$C$11,$C$12,0)+D24,0)</f>
        <v>400</v>
      </c>
      <c r="F24" s="13" t="n">
        <f aca="false">ROUND(C24*$C$14+IF($B24=$C$11+$C$13,$C$12,0),0)</f>
        <v>4053</v>
      </c>
      <c r="G24" s="13" t="n">
        <f aca="false">F24-E24</f>
        <v>3653</v>
      </c>
      <c r="H24" s="17" t="n">
        <f aca="false">H23+G24</f>
        <v>15696</v>
      </c>
    </row>
    <row r="25" customFormat="false" ht="15" hidden="false" customHeight="false" outlineLevel="0" collapsed="false">
      <c r="B25" s="20" t="n">
        <v>8</v>
      </c>
      <c r="C25" s="22" t="n">
        <v>100</v>
      </c>
      <c r="D25" s="12" t="n">
        <v>350</v>
      </c>
      <c r="E25" s="13" t="n">
        <f aca="false">ROUND(IF($B25=0,$C$9*$C$8,0)+IF($B25=$C$10,(1-$C$9)*$C$8,0)+IF($B25=$C$11,$C$12,0)+D25,0)</f>
        <v>350</v>
      </c>
      <c r="F25" s="13" t="n">
        <f aca="false">ROUND(C25*$C$14+IF($B25=$C$11+$C$13,$C$12,0),0)</f>
        <v>3377</v>
      </c>
      <c r="G25" s="13" t="n">
        <f aca="false">F25-E25</f>
        <v>3027</v>
      </c>
      <c r="H25" s="17" t="n">
        <f aca="false">H24+G25</f>
        <v>18723</v>
      </c>
    </row>
    <row r="26" customFormat="false" ht="15" hidden="false" customHeight="false" outlineLevel="0" collapsed="false">
      <c r="B26" s="20" t="n">
        <v>9</v>
      </c>
      <c r="C26" s="22" t="n">
        <v>80</v>
      </c>
      <c r="D26" s="12" t="n">
        <v>300</v>
      </c>
      <c r="E26" s="13" t="n">
        <f aca="false">ROUND(IF($B26=0,$C$9*$C$8,0)+IF($B26=$C$10,(1-$C$9)*$C$8,0)+IF($B26=$C$11,$C$12,0)+D26,0)</f>
        <v>300</v>
      </c>
      <c r="F26" s="13" t="n">
        <f aca="false">ROUND(C26*$C$14+IF($B26=$C$11+$C$13,$C$12,0),0)</f>
        <v>2702</v>
      </c>
      <c r="G26" s="13" t="n">
        <f aca="false">F26-E26</f>
        <v>2402</v>
      </c>
      <c r="H26" s="17" t="n">
        <f aca="false">H25+G26</f>
        <v>21125</v>
      </c>
    </row>
    <row r="27" customFormat="false" ht="15" hidden="false" customHeight="false" outlineLevel="0" collapsed="false">
      <c r="B27" s="20" t="n">
        <v>10</v>
      </c>
      <c r="C27" s="22" t="n">
        <v>60</v>
      </c>
      <c r="D27" s="12" t="n">
        <v>250</v>
      </c>
      <c r="E27" s="13" t="n">
        <f aca="false">ROUND(IF($B27=0,$C$9*$C$8,0)+IF($B27=$C$10,(1-$C$9)*$C$8,0)+IF($B27=$C$11,$C$12,0)+D27,0)</f>
        <v>250</v>
      </c>
      <c r="F27" s="13" t="n">
        <f aca="false">ROUND(C27*$C$14+IF($B27=$C$11+$C$13,$C$12,0),0)</f>
        <v>2026</v>
      </c>
      <c r="G27" s="13" t="n">
        <f aca="false">F27-E27</f>
        <v>1776</v>
      </c>
      <c r="H27" s="17" t="n">
        <f aca="false">H26+G27</f>
        <v>22901</v>
      </c>
    </row>
    <row r="28" customFormat="false" ht="15" hidden="false" customHeight="false" outlineLevel="0" collapsed="false">
      <c r="B28" s="20" t="n">
        <v>11</v>
      </c>
      <c r="C28" s="22" t="n">
        <v>40</v>
      </c>
      <c r="D28" s="12" t="n">
        <v>200</v>
      </c>
      <c r="E28" s="13" t="n">
        <f aca="false">ROUND(IF($B28=0,$C$9*$C$8,0)+IF($B28=$C$10,(1-$C$9)*$C$8,0)+IF($B28=$C$11,$C$12,0)+D28,0)</f>
        <v>200</v>
      </c>
      <c r="F28" s="13" t="n">
        <f aca="false">ROUND(C28*$C$14+IF($B28=$C$11+$C$13,$C$12,0),0)</f>
        <v>1351</v>
      </c>
      <c r="G28" s="13" t="n">
        <f aca="false">F28-E28</f>
        <v>1151</v>
      </c>
      <c r="H28" s="17" t="n">
        <f aca="false">H27+G28</f>
        <v>24052</v>
      </c>
    </row>
    <row r="29" customFormat="false" ht="15" hidden="false" customHeight="false" outlineLevel="0" collapsed="false">
      <c r="B29" s="20" t="n">
        <v>12</v>
      </c>
      <c r="C29" s="22" t="n">
        <v>20</v>
      </c>
      <c r="D29" s="12" t="n">
        <v>150</v>
      </c>
      <c r="E29" s="13" t="n">
        <f aca="false">ROUND(IF($B29=0,$C$9*$C$8,0)+IF($B29=$C$10,(1-$C$9)*$C$8,0)+IF($B29=$C$11,$C$12,0)+D29,0)</f>
        <v>150</v>
      </c>
      <c r="F29" s="13" t="n">
        <f aca="false">ROUND(C29*$C$14+IF($B29=$C$11+$C$13,$C$12,0),0)</f>
        <v>675</v>
      </c>
      <c r="G29" s="13" t="n">
        <f aca="false">F29-E29</f>
        <v>525</v>
      </c>
      <c r="H29" s="17" t="n">
        <f aca="false">H28+G29</f>
        <v>24577</v>
      </c>
    </row>
    <row r="32" customFormat="false" ht="15" hidden="false" customHeight="false" outlineLevel="0" collapsed="false">
      <c r="B32" s="5" t="s">
        <v>360</v>
      </c>
      <c r="C32" s="17" t="n">
        <f aca="false">MIN(H17:H29)</f>
        <v>1509</v>
      </c>
    </row>
    <row r="33" customFormat="false" ht="15" hidden="false" customHeight="false" outlineLevel="0" collapsed="false">
      <c r="B33" s="5" t="str">
        <f aca="false">IF(C32&lt;0,"⚠ Cash goes below zero — cut the order (Sheet 6), stretch supplier terms, or add capital before ordering.","OK — the plan stays funded.")</f>
        <v>OK — the plan stays funded.</v>
      </c>
    </row>
    <row r="35" customFormat="false" ht="220.85" hidden="false" customHeight="false" outlineLevel="0" collapsed="false">
      <c r="B35" s="3" t="s">
        <v>361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B1:M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3" min="2" style="0" width="8"/>
    <col collapsed="false" customWidth="true" hidden="false" outlineLevel="0" max="5" min="4" style="0" width="12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10" min="9" style="0" width="11"/>
    <col collapsed="false" customWidth="true" hidden="false" outlineLevel="0" max="11" min="11" style="0" width="12"/>
    <col collapsed="false" customWidth="true" hidden="false" outlineLevel="0" max="12" min="12" style="0" width="10"/>
    <col collapsed="false" customWidth="true" hidden="false" outlineLevel="0" max="13" min="13" style="0" width="9"/>
  </cols>
  <sheetData>
    <row r="1" customFormat="false" ht="15" hidden="false" customHeight="false" outlineLevel="0" collapsed="false">
      <c r="B1" s="6" t="str">
        <f aca="false">HYPERLINK("#Start!B2","← Start")</f>
        <v>← Start</v>
      </c>
    </row>
    <row r="2" customFormat="false" ht="15" hidden="false" customHeight="false" outlineLevel="0" collapsed="false">
      <c r="B2" s="1" t="s">
        <v>362</v>
      </c>
    </row>
    <row r="3" customFormat="false" ht="292.5" hidden="false" customHeight="false" outlineLevel="0" collapsed="false">
      <c r="B3" s="2" t="s">
        <v>363</v>
      </c>
    </row>
    <row r="5" customFormat="false" ht="15" hidden="false" customHeight="false" outlineLevel="0" collapsed="false">
      <c r="B5" s="4" t="s">
        <v>64</v>
      </c>
      <c r="C5" s="4" t="s">
        <v>364</v>
      </c>
      <c r="D5" s="4" t="s">
        <v>365</v>
      </c>
      <c r="E5" s="4" t="s">
        <v>366</v>
      </c>
      <c r="F5" s="4" t="s">
        <v>367</v>
      </c>
      <c r="G5" s="4" t="s">
        <v>368</v>
      </c>
      <c r="H5" s="4" t="s">
        <v>369</v>
      </c>
      <c r="I5" s="4" t="s">
        <v>370</v>
      </c>
      <c r="J5" s="4" t="s">
        <v>371</v>
      </c>
      <c r="K5" s="4" t="s">
        <v>372</v>
      </c>
      <c r="L5" s="4" t="s">
        <v>373</v>
      </c>
      <c r="M5" s="4" t="s">
        <v>374</v>
      </c>
    </row>
    <row r="6" customFormat="false" ht="15" hidden="false" customHeight="false" outlineLevel="0" collapsed="false">
      <c r="B6" s="11" t="s">
        <v>72</v>
      </c>
      <c r="C6" s="12" t="n">
        <v>90</v>
      </c>
      <c r="D6" s="12" t="n">
        <v>5399</v>
      </c>
      <c r="E6" s="12" t="n">
        <v>1260</v>
      </c>
      <c r="F6" s="12" t="n">
        <v>180</v>
      </c>
      <c r="G6" s="12" t="n">
        <v>620</v>
      </c>
      <c r="H6" s="12" t="n">
        <v>90</v>
      </c>
      <c r="I6" s="13" t="n">
        <f aca="false">IF(C6="","",ROUND(C6*'6 Order size'!$C$15,0))</f>
        <v>1164</v>
      </c>
      <c r="J6" s="13" t="n">
        <f aca="false">IF(D6="","",ROUND('3 Unit economics'!$C$18*D6/(1+'3 Unit economics'!$C$7),0))</f>
        <v>45</v>
      </c>
      <c r="K6" s="17" t="n">
        <f aca="false">IF(D6="","",ROUND(D6/(1+'3 Unit economics'!$C$7)-E6-F6-G6-H6-I6-J6,0))</f>
        <v>1178</v>
      </c>
      <c r="L6" s="15" t="n">
        <f aca="false">IF(D6="","",K6/(D6/(1+'3 Unit economics'!$C$7)))</f>
        <v>0.259644378588628</v>
      </c>
      <c r="M6" s="15" t="n">
        <f aca="false">IF(OR(D6="",G6=""),"",G6/D6)</f>
        <v>0.114836080755696</v>
      </c>
    </row>
    <row r="7" customFormat="false" ht="15" hidden="false" customHeight="false" outlineLevel="0" collapsed="false">
      <c r="B7" s="11" t="s">
        <v>73</v>
      </c>
      <c r="C7" s="12"/>
      <c r="D7" s="12"/>
      <c r="E7" s="12"/>
      <c r="F7" s="12"/>
      <c r="G7" s="12"/>
      <c r="H7" s="12"/>
      <c r="I7" s="13" t="str">
        <f aca="false">IF(C7="","",ROUND(C7*'6 Order size'!$C$15,0))</f>
        <v/>
      </c>
      <c r="J7" s="13" t="str">
        <f aca="false">IF(D7="","",ROUND('3 Unit economics'!$C$18*D7/(1+'3 Unit economics'!$C$7),0))</f>
        <v/>
      </c>
      <c r="K7" s="17" t="str">
        <f aca="false">IF(D7="","",ROUND(D7/(1+'3 Unit economics'!$C$7)-E7-F7-G7-H7-I7-J7,0))</f>
        <v/>
      </c>
      <c r="L7" s="15" t="str">
        <f aca="false">IF(D7="","",K7/(D7/(1+'3 Unit economics'!$C$7)))</f>
        <v/>
      </c>
      <c r="M7" s="15" t="str">
        <f aca="false">IF(OR(D7="",G7=""),"",G7/D7)</f>
        <v/>
      </c>
    </row>
    <row r="8" customFormat="false" ht="15" hidden="false" customHeight="false" outlineLevel="0" collapsed="false">
      <c r="B8" s="11" t="s">
        <v>74</v>
      </c>
      <c r="C8" s="12"/>
      <c r="D8" s="12"/>
      <c r="E8" s="12"/>
      <c r="F8" s="12"/>
      <c r="G8" s="12"/>
      <c r="H8" s="12"/>
      <c r="I8" s="13" t="str">
        <f aca="false">IF(C8="","",ROUND(C8*'6 Order size'!$C$15,0))</f>
        <v/>
      </c>
      <c r="J8" s="13" t="str">
        <f aca="false">IF(D8="","",ROUND('3 Unit economics'!$C$18*D8/(1+'3 Unit economics'!$C$7),0))</f>
        <v/>
      </c>
      <c r="K8" s="17" t="str">
        <f aca="false">IF(D8="","",ROUND(D8/(1+'3 Unit economics'!$C$7)-E8-F8-G8-H8-I8-J8,0))</f>
        <v/>
      </c>
      <c r="L8" s="15" t="str">
        <f aca="false">IF(D8="","",K8/(D8/(1+'3 Unit economics'!$C$7)))</f>
        <v/>
      </c>
      <c r="M8" s="15" t="str">
        <f aca="false">IF(OR(D8="",G8=""),"",G8/D8)</f>
        <v/>
      </c>
    </row>
    <row r="9" customFormat="false" ht="15" hidden="false" customHeight="false" outlineLevel="0" collapsed="false">
      <c r="B9" s="11" t="s">
        <v>75</v>
      </c>
      <c r="C9" s="12"/>
      <c r="D9" s="12"/>
      <c r="E9" s="12"/>
      <c r="F9" s="12"/>
      <c r="G9" s="12"/>
      <c r="H9" s="12"/>
      <c r="I9" s="13" t="str">
        <f aca="false">IF(C9="","",ROUND(C9*'6 Order size'!$C$15,0))</f>
        <v/>
      </c>
      <c r="J9" s="13" t="str">
        <f aca="false">IF(D9="","",ROUND('3 Unit economics'!$C$18*D9/(1+'3 Unit economics'!$C$7),0))</f>
        <v/>
      </c>
      <c r="K9" s="17" t="str">
        <f aca="false">IF(D9="","",ROUND(D9/(1+'3 Unit economics'!$C$7)-E9-F9-G9-H9-I9-J9,0))</f>
        <v/>
      </c>
      <c r="L9" s="15" t="str">
        <f aca="false">IF(D9="","",K9/(D9/(1+'3 Unit economics'!$C$7)))</f>
        <v/>
      </c>
      <c r="M9" s="15" t="str">
        <f aca="false">IF(OR(D9="",G9=""),"",G9/D9)</f>
        <v/>
      </c>
    </row>
    <row r="10" customFormat="false" ht="15" hidden="false" customHeight="false" outlineLevel="0" collapsed="false">
      <c r="B10" s="11" t="s">
        <v>76</v>
      </c>
      <c r="C10" s="12"/>
      <c r="D10" s="12"/>
      <c r="E10" s="12"/>
      <c r="F10" s="12"/>
      <c r="G10" s="12"/>
      <c r="H10" s="12"/>
      <c r="I10" s="13" t="str">
        <f aca="false">IF(C10="","",ROUND(C10*'6 Order size'!$C$15,0))</f>
        <v/>
      </c>
      <c r="J10" s="13" t="str">
        <f aca="false">IF(D10="","",ROUND('3 Unit economics'!$C$18*D10/(1+'3 Unit economics'!$C$7),0))</f>
        <v/>
      </c>
      <c r="K10" s="17" t="str">
        <f aca="false">IF(D10="","",ROUND(D10/(1+'3 Unit economics'!$C$7)-E10-F10-G10-H10-I10-J10,0))</f>
        <v/>
      </c>
      <c r="L10" s="15" t="str">
        <f aca="false">IF(D10="","",K10/(D10/(1+'3 Unit economics'!$C$7)))</f>
        <v/>
      </c>
      <c r="M10" s="15" t="str">
        <f aca="false">IF(OR(D10="",G10=""),"",G10/D10)</f>
        <v/>
      </c>
    </row>
    <row r="11" customFormat="false" ht="15" hidden="false" customHeight="false" outlineLevel="0" collapsed="false">
      <c r="B11" s="11" t="s">
        <v>77</v>
      </c>
      <c r="C11" s="12"/>
      <c r="D11" s="12"/>
      <c r="E11" s="12"/>
      <c r="F11" s="12"/>
      <c r="G11" s="12"/>
      <c r="H11" s="12"/>
      <c r="I11" s="13" t="str">
        <f aca="false">IF(C11="","",ROUND(C11*'6 Order size'!$C$15,0))</f>
        <v/>
      </c>
      <c r="J11" s="13" t="str">
        <f aca="false">IF(D11="","",ROUND('3 Unit economics'!$C$18*D11/(1+'3 Unit economics'!$C$7),0))</f>
        <v/>
      </c>
      <c r="K11" s="17" t="str">
        <f aca="false">IF(D11="","",ROUND(D11/(1+'3 Unit economics'!$C$7)-E11-F11-G11-H11-I11-J11,0))</f>
        <v/>
      </c>
      <c r="L11" s="15" t="str">
        <f aca="false">IF(D11="","",K11/(D11/(1+'3 Unit economics'!$C$7)))</f>
        <v/>
      </c>
      <c r="M11" s="15" t="str">
        <f aca="false">IF(OR(D11="",G11=""),"",G11/D11)</f>
        <v/>
      </c>
    </row>
    <row r="12" customFormat="false" ht="15" hidden="false" customHeight="false" outlineLevel="0" collapsed="false">
      <c r="B12" s="11" t="s">
        <v>78</v>
      </c>
      <c r="C12" s="12"/>
      <c r="D12" s="12"/>
      <c r="E12" s="12"/>
      <c r="F12" s="12"/>
      <c r="G12" s="12"/>
      <c r="H12" s="12"/>
      <c r="I12" s="13" t="str">
        <f aca="false">IF(C12="","",ROUND(C12*'6 Order size'!$C$15,0))</f>
        <v/>
      </c>
      <c r="J12" s="13" t="str">
        <f aca="false">IF(D12="","",ROUND('3 Unit economics'!$C$18*D12/(1+'3 Unit economics'!$C$7),0))</f>
        <v/>
      </c>
      <c r="K12" s="17" t="str">
        <f aca="false">IF(D12="","",ROUND(D12/(1+'3 Unit economics'!$C$7)-E12-F12-G12-H12-I12-J12,0))</f>
        <v/>
      </c>
      <c r="L12" s="15" t="str">
        <f aca="false">IF(D12="","",K12/(D12/(1+'3 Unit economics'!$C$7)))</f>
        <v/>
      </c>
      <c r="M12" s="15" t="str">
        <f aca="false">IF(OR(D12="",G12=""),"",G12/D12)</f>
        <v/>
      </c>
    </row>
    <row r="13" customFormat="false" ht="15" hidden="false" customHeight="false" outlineLevel="0" collapsed="false">
      <c r="B13" s="11" t="s">
        <v>79</v>
      </c>
      <c r="C13" s="12"/>
      <c r="D13" s="12"/>
      <c r="E13" s="12"/>
      <c r="F13" s="12"/>
      <c r="G13" s="12"/>
      <c r="H13" s="12"/>
      <c r="I13" s="13" t="str">
        <f aca="false">IF(C13="","",ROUND(C13*'6 Order size'!$C$15,0))</f>
        <v/>
      </c>
      <c r="J13" s="13" t="str">
        <f aca="false">IF(D13="","",ROUND('3 Unit economics'!$C$18*D13/(1+'3 Unit economics'!$C$7),0))</f>
        <v/>
      </c>
      <c r="K13" s="17" t="str">
        <f aca="false">IF(D13="","",ROUND(D13/(1+'3 Unit economics'!$C$7)-E13-F13-G13-H13-I13-J13,0))</f>
        <v/>
      </c>
      <c r="L13" s="15" t="str">
        <f aca="false">IF(D13="","",K13/(D13/(1+'3 Unit economics'!$C$7)))</f>
        <v/>
      </c>
      <c r="M13" s="15" t="str">
        <f aca="false">IF(OR(D13="",G13=""),"",G13/D13)</f>
        <v/>
      </c>
    </row>
    <row r="14" customFormat="false" ht="15" hidden="false" customHeight="false" outlineLevel="0" collapsed="false">
      <c r="B14" s="11" t="s">
        <v>80</v>
      </c>
      <c r="C14" s="12"/>
      <c r="D14" s="12"/>
      <c r="E14" s="12"/>
      <c r="F14" s="12"/>
      <c r="G14" s="12"/>
      <c r="H14" s="12"/>
      <c r="I14" s="13" t="str">
        <f aca="false">IF(C14="","",ROUND(C14*'6 Order size'!$C$15,0))</f>
        <v/>
      </c>
      <c r="J14" s="13" t="str">
        <f aca="false">IF(D14="","",ROUND('3 Unit economics'!$C$18*D14/(1+'3 Unit economics'!$C$7),0))</f>
        <v/>
      </c>
      <c r="K14" s="17" t="str">
        <f aca="false">IF(D14="","",ROUND(D14/(1+'3 Unit economics'!$C$7)-E14-F14-G14-H14-I14-J14,0))</f>
        <v/>
      </c>
      <c r="L14" s="15" t="str">
        <f aca="false">IF(D14="","",K14/(D14/(1+'3 Unit economics'!$C$7)))</f>
        <v/>
      </c>
      <c r="M14" s="15" t="str">
        <f aca="false">IF(OR(D14="",G14=""),"",G14/D14)</f>
        <v/>
      </c>
    </row>
    <row r="15" customFormat="false" ht="15" hidden="false" customHeight="false" outlineLevel="0" collapsed="false">
      <c r="B15" s="11" t="s">
        <v>81</v>
      </c>
      <c r="C15" s="12"/>
      <c r="D15" s="12"/>
      <c r="E15" s="12"/>
      <c r="F15" s="12"/>
      <c r="G15" s="12"/>
      <c r="H15" s="12"/>
      <c r="I15" s="13" t="str">
        <f aca="false">IF(C15="","",ROUND(C15*'6 Order size'!$C$15,0))</f>
        <v/>
      </c>
      <c r="J15" s="13" t="str">
        <f aca="false">IF(D15="","",ROUND('3 Unit economics'!$C$18*D15/(1+'3 Unit economics'!$C$7),0))</f>
        <v/>
      </c>
      <c r="K15" s="17" t="str">
        <f aca="false">IF(D15="","",ROUND(D15/(1+'3 Unit economics'!$C$7)-E15-F15-G15-H15-I15-J15,0))</f>
        <v/>
      </c>
      <c r="L15" s="15" t="str">
        <f aca="false">IF(D15="","",K15/(D15/(1+'3 Unit economics'!$C$7)))</f>
        <v/>
      </c>
      <c r="M15" s="15" t="str">
        <f aca="false">IF(OR(D15="",G15=""),"",G15/D15)</f>
        <v/>
      </c>
    </row>
    <row r="16" customFormat="false" ht="15" hidden="false" customHeight="false" outlineLevel="0" collapsed="false">
      <c r="B16" s="11" t="s">
        <v>82</v>
      </c>
      <c r="C16" s="12"/>
      <c r="D16" s="12"/>
      <c r="E16" s="12"/>
      <c r="F16" s="12"/>
      <c r="G16" s="12"/>
      <c r="H16" s="12"/>
      <c r="I16" s="13" t="str">
        <f aca="false">IF(C16="","",ROUND(C16*'6 Order size'!$C$15,0))</f>
        <v/>
      </c>
      <c r="J16" s="13" t="str">
        <f aca="false">IF(D16="","",ROUND('3 Unit economics'!$C$18*D16/(1+'3 Unit economics'!$C$7),0))</f>
        <v/>
      </c>
      <c r="K16" s="17" t="str">
        <f aca="false">IF(D16="","",ROUND(D16/(1+'3 Unit economics'!$C$7)-E16-F16-G16-H16-I16-J16,0))</f>
        <v/>
      </c>
      <c r="L16" s="15" t="str">
        <f aca="false">IF(D16="","",K16/(D16/(1+'3 Unit economics'!$C$7)))</f>
        <v/>
      </c>
      <c r="M16" s="15" t="str">
        <f aca="false">IF(OR(D16="",G16=""),"",G16/D16)</f>
        <v/>
      </c>
    </row>
    <row r="17" customFormat="false" ht="15" hidden="false" customHeight="false" outlineLevel="0" collapsed="false">
      <c r="B17" s="11" t="s">
        <v>83</v>
      </c>
      <c r="C17" s="12"/>
      <c r="D17" s="12"/>
      <c r="E17" s="12"/>
      <c r="F17" s="12"/>
      <c r="G17" s="12"/>
      <c r="H17" s="12"/>
      <c r="I17" s="13" t="str">
        <f aca="false">IF(C17="","",ROUND(C17*'6 Order size'!$C$15,0))</f>
        <v/>
      </c>
      <c r="J17" s="13" t="str">
        <f aca="false">IF(D17="","",ROUND('3 Unit economics'!$C$18*D17/(1+'3 Unit economics'!$C$7),0))</f>
        <v/>
      </c>
      <c r="K17" s="17" t="str">
        <f aca="false">IF(D17="","",ROUND(D17/(1+'3 Unit economics'!$C$7)-E17-F17-G17-H17-I17-J17,0))</f>
        <v/>
      </c>
      <c r="L17" s="15" t="str">
        <f aca="false">IF(D17="","",K17/(D17/(1+'3 Unit economics'!$C$7)))</f>
        <v/>
      </c>
      <c r="M17" s="15" t="str">
        <f aca="false">IF(OR(D17="",G17=""),"",G17/D17)</f>
        <v/>
      </c>
    </row>
    <row r="18" customFormat="false" ht="15" hidden="false" customHeight="false" outlineLevel="0" collapsed="false">
      <c r="B18" s="5" t="s">
        <v>84</v>
      </c>
      <c r="C18" s="17" t="n">
        <f aca="false">SUM(C6:C17)</f>
        <v>90</v>
      </c>
      <c r="D18" s="17" t="n">
        <f aca="false">SUM(D6:D17)</f>
        <v>5399</v>
      </c>
      <c r="E18" s="17" t="n">
        <f aca="false">SUM(E6:E17)</f>
        <v>1260</v>
      </c>
      <c r="F18" s="17" t="n">
        <f aca="false">SUM(F6:F17)</f>
        <v>180</v>
      </c>
      <c r="G18" s="17" t="n">
        <f aca="false">SUM(G6:G17)</f>
        <v>620</v>
      </c>
      <c r="H18" s="17" t="n">
        <f aca="false">SUM(H6:H17)</f>
        <v>90</v>
      </c>
      <c r="I18" s="17" t="n">
        <f aca="false">SUM(I6:I17)</f>
        <v>1164</v>
      </c>
      <c r="J18" s="17" t="n">
        <f aca="false">SUM(J6:J17)</f>
        <v>45</v>
      </c>
      <c r="K18" s="17" t="n">
        <f aca="false">SUM(K6:K17)</f>
        <v>1178</v>
      </c>
      <c r="L18" s="18" t="n">
        <f aca="false">IF(D18=0,"",K18/(D18/(1+'3 Unit economics'!$C$7)))</f>
        <v>0.259644378588628</v>
      </c>
      <c r="M18" s="18" t="n">
        <f aca="false">IF(D18=0,"",G18/D18)</f>
        <v>0.114836080755696</v>
      </c>
    </row>
    <row r="20" customFormat="false" ht="210.4" hidden="false" customHeight="false" outlineLevel="0" collapsed="false">
      <c r="B20" s="3" t="s">
        <v>375</v>
      </c>
    </row>
    <row r="21" customFormat="false" ht="189.55" hidden="false" customHeight="false" outlineLevel="0" collapsed="false">
      <c r="B21" s="3" t="s">
        <v>376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B1:F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6" min="6" style="0" width="30"/>
    <col collapsed="false" customWidth="true" hidden="false" outlineLevel="0" max="7" min="7" style="0" width="40"/>
  </cols>
  <sheetData>
    <row r="1" customFormat="false" ht="15" hidden="false" customHeight="false" outlineLevel="0" collapsed="false">
      <c r="B1" s="6" t="str">
        <f aca="false">HYPERLINK("#Start!B2","← Start")</f>
        <v>← Start</v>
      </c>
    </row>
    <row r="2" customFormat="false" ht="15" hidden="false" customHeight="false" outlineLevel="0" collapsed="false">
      <c r="B2" s="1" t="s">
        <v>377</v>
      </c>
    </row>
    <row r="3" customFormat="false" ht="169.4" hidden="false" customHeight="false" outlineLevel="0" collapsed="false">
      <c r="B3" s="2" t="s">
        <v>378</v>
      </c>
    </row>
    <row r="5" customFormat="false" ht="15" hidden="false" customHeight="false" outlineLevel="0" collapsed="false">
      <c r="B5" s="5" t="s">
        <v>379</v>
      </c>
      <c r="C5" s="23" t="n">
        <f aca="false">COUNTIF($F$12:$F$61,"NOT REIMBURSED — check &amp; claim")</f>
        <v>1</v>
      </c>
    </row>
    <row r="7" customFormat="false" ht="126.85" hidden="false" customHeight="false" outlineLevel="0" collapsed="false">
      <c r="B7" s="3" t="s">
        <v>380</v>
      </c>
    </row>
    <row r="11" customFormat="false" ht="15" hidden="false" customHeight="false" outlineLevel="0" collapsed="false">
      <c r="B11" s="4" t="s">
        <v>381</v>
      </c>
      <c r="C11" s="4" t="s">
        <v>382</v>
      </c>
      <c r="D11" s="4" t="s">
        <v>383</v>
      </c>
      <c r="E11" s="4" t="s">
        <v>384</v>
      </c>
      <c r="F11" s="4" t="s">
        <v>385</v>
      </c>
    </row>
    <row r="12" customFormat="false" ht="15" hidden="false" customHeight="false" outlineLevel="0" collapsed="false">
      <c r="B12" s="10" t="n">
        <v>46206</v>
      </c>
      <c r="C12" s="9" t="s">
        <v>386</v>
      </c>
      <c r="D12" s="9" t="s">
        <v>387</v>
      </c>
      <c r="E12" s="22" t="n">
        <v>2</v>
      </c>
      <c r="F12" s="11" t="str">
        <f aca="false">IF($C12="","",IF(COUNTIF($C$68:$C$117,$C12)&gt;0,"Reimbursement found — verify amount","NOT REIMBURSED — check &amp; claim"))</f>
        <v>Reimbursement found — verify amount</v>
      </c>
    </row>
    <row r="13" customFormat="false" ht="15" hidden="false" customHeight="false" outlineLevel="0" collapsed="false">
      <c r="B13" s="10" t="n">
        <v>46222</v>
      </c>
      <c r="C13" s="9" t="s">
        <v>388</v>
      </c>
      <c r="D13" s="9" t="s">
        <v>389</v>
      </c>
      <c r="E13" s="22" t="n">
        <v>1</v>
      </c>
      <c r="F13" s="11" t="str">
        <f aca="false">IF($C13="","",IF(COUNTIF($C$68:$C$117,$C13)&gt;0,"Reimbursement found — verify amount","NOT REIMBURSED — check &amp; claim"))</f>
        <v>NOT REIMBURSED — check &amp; claim</v>
      </c>
    </row>
    <row r="14" customFormat="false" ht="15" hidden="false" customHeight="false" outlineLevel="0" collapsed="false">
      <c r="B14" s="10"/>
      <c r="C14" s="9"/>
      <c r="D14" s="9"/>
      <c r="E14" s="22"/>
      <c r="F14" s="11" t="str">
        <f aca="false">IF($C14="","",IF(COUNTIF($C$68:$C$117,$C14)&gt;0,"Reimbursement found — verify amount","NOT REIMBURSED — check &amp; claim"))</f>
        <v/>
      </c>
    </row>
    <row r="15" customFormat="false" ht="15" hidden="false" customHeight="false" outlineLevel="0" collapsed="false">
      <c r="B15" s="10"/>
      <c r="C15" s="9"/>
      <c r="D15" s="9"/>
      <c r="E15" s="22"/>
      <c r="F15" s="11" t="str">
        <f aca="false">IF($C15="","",IF(COUNTIF($C$68:$C$117,$C15)&gt;0,"Reimbursement found — verify amount","NOT REIMBURSED — check &amp; claim"))</f>
        <v/>
      </c>
    </row>
    <row r="16" customFormat="false" ht="15" hidden="false" customHeight="false" outlineLevel="0" collapsed="false">
      <c r="B16" s="10"/>
      <c r="C16" s="9"/>
      <c r="D16" s="9"/>
      <c r="E16" s="22"/>
      <c r="F16" s="11" t="str">
        <f aca="false">IF($C16="","",IF(COUNTIF($C$68:$C$117,$C16)&gt;0,"Reimbursement found — verify amount","NOT REIMBURSED — check &amp; claim"))</f>
        <v/>
      </c>
    </row>
    <row r="17" customFormat="false" ht="15" hidden="false" customHeight="false" outlineLevel="0" collapsed="false">
      <c r="B17" s="10"/>
      <c r="C17" s="9"/>
      <c r="D17" s="9"/>
      <c r="E17" s="22"/>
      <c r="F17" s="11" t="str">
        <f aca="false">IF($C17="","",IF(COUNTIF($C$68:$C$117,$C17)&gt;0,"Reimbursement found — verify amount","NOT REIMBURSED — check &amp; claim"))</f>
        <v/>
      </c>
    </row>
    <row r="18" customFormat="false" ht="15" hidden="false" customHeight="false" outlineLevel="0" collapsed="false">
      <c r="B18" s="10"/>
      <c r="C18" s="9"/>
      <c r="D18" s="9"/>
      <c r="E18" s="22"/>
      <c r="F18" s="11" t="str">
        <f aca="false">IF($C18="","",IF(COUNTIF($C$68:$C$117,$C18)&gt;0,"Reimbursement found — verify amount","NOT REIMBURSED — check &amp; claim"))</f>
        <v/>
      </c>
    </row>
    <row r="19" customFormat="false" ht="15" hidden="false" customHeight="false" outlineLevel="0" collapsed="false">
      <c r="B19" s="10"/>
      <c r="C19" s="9"/>
      <c r="D19" s="9"/>
      <c r="E19" s="22"/>
      <c r="F19" s="11" t="str">
        <f aca="false">IF($C19="","",IF(COUNTIF($C$68:$C$117,$C19)&gt;0,"Reimbursement found — verify amount","NOT REIMBURSED — check &amp; claim"))</f>
        <v/>
      </c>
    </row>
    <row r="20" customFormat="false" ht="15" hidden="false" customHeight="false" outlineLevel="0" collapsed="false">
      <c r="B20" s="10"/>
      <c r="C20" s="9"/>
      <c r="D20" s="9"/>
      <c r="E20" s="22"/>
      <c r="F20" s="11" t="str">
        <f aca="false">IF($C20="","",IF(COUNTIF($C$68:$C$117,$C20)&gt;0,"Reimbursement found — verify amount","NOT REIMBURSED — check &amp; claim"))</f>
        <v/>
      </c>
    </row>
    <row r="21" customFormat="false" ht="15" hidden="false" customHeight="false" outlineLevel="0" collapsed="false">
      <c r="B21" s="10"/>
      <c r="C21" s="9"/>
      <c r="D21" s="9"/>
      <c r="E21" s="22"/>
      <c r="F21" s="11" t="str">
        <f aca="false">IF($C21="","",IF(COUNTIF($C$68:$C$117,$C21)&gt;0,"Reimbursement found — verify amount","NOT REIMBURSED — check &amp; claim"))</f>
        <v/>
      </c>
    </row>
    <row r="22" customFormat="false" ht="15" hidden="false" customHeight="false" outlineLevel="0" collapsed="false">
      <c r="B22" s="10"/>
      <c r="C22" s="9"/>
      <c r="D22" s="9"/>
      <c r="E22" s="22"/>
      <c r="F22" s="11" t="str">
        <f aca="false">IF($C22="","",IF(COUNTIF($C$68:$C$117,$C22)&gt;0,"Reimbursement found — verify amount","NOT REIMBURSED — check &amp; claim"))</f>
        <v/>
      </c>
    </row>
    <row r="23" customFormat="false" ht="15" hidden="false" customHeight="false" outlineLevel="0" collapsed="false">
      <c r="B23" s="10"/>
      <c r="C23" s="9"/>
      <c r="D23" s="9"/>
      <c r="E23" s="22"/>
      <c r="F23" s="11" t="str">
        <f aca="false">IF($C23="","",IF(COUNTIF($C$68:$C$117,$C23)&gt;0,"Reimbursement found — verify amount","NOT REIMBURSED — check &amp; claim"))</f>
        <v/>
      </c>
    </row>
    <row r="24" customFormat="false" ht="15" hidden="false" customHeight="false" outlineLevel="0" collapsed="false">
      <c r="B24" s="10"/>
      <c r="C24" s="9"/>
      <c r="D24" s="9"/>
      <c r="E24" s="22"/>
      <c r="F24" s="11" t="str">
        <f aca="false">IF($C24="","",IF(COUNTIF($C$68:$C$117,$C24)&gt;0,"Reimbursement found — verify amount","NOT REIMBURSED — check &amp; claim"))</f>
        <v/>
      </c>
    </row>
    <row r="25" customFormat="false" ht="15" hidden="false" customHeight="false" outlineLevel="0" collapsed="false">
      <c r="B25" s="10"/>
      <c r="C25" s="9"/>
      <c r="D25" s="9"/>
      <c r="E25" s="22"/>
      <c r="F25" s="11" t="str">
        <f aca="false">IF($C25="","",IF(COUNTIF($C$68:$C$117,$C25)&gt;0,"Reimbursement found — verify amount","NOT REIMBURSED — check &amp; claim"))</f>
        <v/>
      </c>
    </row>
    <row r="26" customFormat="false" ht="15" hidden="false" customHeight="false" outlineLevel="0" collapsed="false">
      <c r="B26" s="10"/>
      <c r="C26" s="9"/>
      <c r="D26" s="9"/>
      <c r="E26" s="22"/>
      <c r="F26" s="11" t="str">
        <f aca="false">IF($C26="","",IF(COUNTIF($C$68:$C$117,$C26)&gt;0,"Reimbursement found — verify amount","NOT REIMBURSED — check &amp; claim"))</f>
        <v/>
      </c>
    </row>
    <row r="27" customFormat="false" ht="15" hidden="false" customHeight="false" outlineLevel="0" collapsed="false">
      <c r="B27" s="10"/>
      <c r="C27" s="9"/>
      <c r="D27" s="9"/>
      <c r="E27" s="22"/>
      <c r="F27" s="11" t="str">
        <f aca="false">IF($C27="","",IF(COUNTIF($C$68:$C$117,$C27)&gt;0,"Reimbursement found — verify amount","NOT REIMBURSED — check &amp; claim"))</f>
        <v/>
      </c>
    </row>
    <row r="28" customFormat="false" ht="15" hidden="false" customHeight="false" outlineLevel="0" collapsed="false">
      <c r="B28" s="10"/>
      <c r="C28" s="9"/>
      <c r="D28" s="9"/>
      <c r="E28" s="22"/>
      <c r="F28" s="11" t="str">
        <f aca="false">IF($C28="","",IF(COUNTIF($C$68:$C$117,$C28)&gt;0,"Reimbursement found — verify amount","NOT REIMBURSED — check &amp; claim"))</f>
        <v/>
      </c>
    </row>
    <row r="29" customFormat="false" ht="15" hidden="false" customHeight="false" outlineLevel="0" collapsed="false">
      <c r="B29" s="10"/>
      <c r="C29" s="9"/>
      <c r="D29" s="9"/>
      <c r="E29" s="22"/>
      <c r="F29" s="11" t="str">
        <f aca="false">IF($C29="","",IF(COUNTIF($C$68:$C$117,$C29)&gt;0,"Reimbursement found — verify amount","NOT REIMBURSED — check &amp; claim"))</f>
        <v/>
      </c>
    </row>
    <row r="30" customFormat="false" ht="15" hidden="false" customHeight="false" outlineLevel="0" collapsed="false">
      <c r="B30" s="10"/>
      <c r="C30" s="9"/>
      <c r="D30" s="9"/>
      <c r="E30" s="22"/>
      <c r="F30" s="11" t="str">
        <f aca="false">IF($C30="","",IF(COUNTIF($C$68:$C$117,$C30)&gt;0,"Reimbursement found — verify amount","NOT REIMBURSED — check &amp; claim"))</f>
        <v/>
      </c>
    </row>
    <row r="31" customFormat="false" ht="15" hidden="false" customHeight="false" outlineLevel="0" collapsed="false">
      <c r="B31" s="10"/>
      <c r="C31" s="9"/>
      <c r="D31" s="9"/>
      <c r="E31" s="22"/>
      <c r="F31" s="11" t="str">
        <f aca="false">IF($C31="","",IF(COUNTIF($C$68:$C$117,$C31)&gt;0,"Reimbursement found — verify amount","NOT REIMBURSED — check &amp; claim"))</f>
        <v/>
      </c>
    </row>
    <row r="32" customFormat="false" ht="15" hidden="false" customHeight="false" outlineLevel="0" collapsed="false">
      <c r="B32" s="10"/>
      <c r="C32" s="9"/>
      <c r="D32" s="9"/>
      <c r="E32" s="22"/>
      <c r="F32" s="11" t="str">
        <f aca="false">IF($C32="","",IF(COUNTIF($C$68:$C$117,$C32)&gt;0,"Reimbursement found — verify amount","NOT REIMBURSED — check &amp; claim"))</f>
        <v/>
      </c>
    </row>
    <row r="33" customFormat="false" ht="15" hidden="false" customHeight="false" outlineLevel="0" collapsed="false">
      <c r="B33" s="10"/>
      <c r="C33" s="9"/>
      <c r="D33" s="9"/>
      <c r="E33" s="22"/>
      <c r="F33" s="11" t="str">
        <f aca="false">IF($C33="","",IF(COUNTIF($C$68:$C$117,$C33)&gt;0,"Reimbursement found — verify amount","NOT REIMBURSED — check &amp; claim"))</f>
        <v/>
      </c>
    </row>
    <row r="34" customFormat="false" ht="15" hidden="false" customHeight="false" outlineLevel="0" collapsed="false">
      <c r="B34" s="10"/>
      <c r="C34" s="9"/>
      <c r="D34" s="9"/>
      <c r="E34" s="22"/>
      <c r="F34" s="11" t="str">
        <f aca="false">IF($C34="","",IF(COUNTIF($C$68:$C$117,$C34)&gt;0,"Reimbursement found — verify amount","NOT REIMBURSED — check &amp; claim"))</f>
        <v/>
      </c>
    </row>
    <row r="35" customFormat="false" ht="15" hidden="false" customHeight="false" outlineLevel="0" collapsed="false">
      <c r="B35" s="10"/>
      <c r="C35" s="9"/>
      <c r="D35" s="9"/>
      <c r="E35" s="22"/>
      <c r="F35" s="11" t="str">
        <f aca="false">IF($C35="","",IF(COUNTIF($C$68:$C$117,$C35)&gt;0,"Reimbursement found — verify amount","NOT REIMBURSED — check &amp; claim"))</f>
        <v/>
      </c>
    </row>
    <row r="36" customFormat="false" ht="15" hidden="false" customHeight="false" outlineLevel="0" collapsed="false">
      <c r="B36" s="10"/>
      <c r="C36" s="9"/>
      <c r="D36" s="9"/>
      <c r="E36" s="22"/>
      <c r="F36" s="11" t="str">
        <f aca="false">IF($C36="","",IF(COUNTIF($C$68:$C$117,$C36)&gt;0,"Reimbursement found — verify amount","NOT REIMBURSED — check &amp; claim"))</f>
        <v/>
      </c>
    </row>
    <row r="37" customFormat="false" ht="15" hidden="false" customHeight="false" outlineLevel="0" collapsed="false">
      <c r="B37" s="10"/>
      <c r="C37" s="9"/>
      <c r="D37" s="9"/>
      <c r="E37" s="22"/>
      <c r="F37" s="11" t="str">
        <f aca="false">IF($C37="","",IF(COUNTIF($C$68:$C$117,$C37)&gt;0,"Reimbursement found — verify amount","NOT REIMBURSED — check &amp; claim"))</f>
        <v/>
      </c>
    </row>
    <row r="38" customFormat="false" ht="15" hidden="false" customHeight="false" outlineLevel="0" collapsed="false">
      <c r="B38" s="10"/>
      <c r="C38" s="9"/>
      <c r="D38" s="9"/>
      <c r="E38" s="22"/>
      <c r="F38" s="11" t="str">
        <f aca="false">IF($C38="","",IF(COUNTIF($C$68:$C$117,$C38)&gt;0,"Reimbursement found — verify amount","NOT REIMBURSED — check &amp; claim"))</f>
        <v/>
      </c>
    </row>
    <row r="39" customFormat="false" ht="15" hidden="false" customHeight="false" outlineLevel="0" collapsed="false">
      <c r="B39" s="10"/>
      <c r="C39" s="9"/>
      <c r="D39" s="9"/>
      <c r="E39" s="22"/>
      <c r="F39" s="11" t="str">
        <f aca="false">IF($C39="","",IF(COUNTIF($C$68:$C$117,$C39)&gt;0,"Reimbursement found — verify amount","NOT REIMBURSED — check &amp; claim"))</f>
        <v/>
      </c>
    </row>
    <row r="40" customFormat="false" ht="15" hidden="false" customHeight="false" outlineLevel="0" collapsed="false">
      <c r="B40" s="10"/>
      <c r="C40" s="9"/>
      <c r="D40" s="9"/>
      <c r="E40" s="22"/>
      <c r="F40" s="11" t="str">
        <f aca="false">IF($C40="","",IF(COUNTIF($C$68:$C$117,$C40)&gt;0,"Reimbursement found — verify amount","NOT REIMBURSED — check &amp; claim"))</f>
        <v/>
      </c>
    </row>
    <row r="41" customFormat="false" ht="15" hidden="false" customHeight="false" outlineLevel="0" collapsed="false">
      <c r="B41" s="10"/>
      <c r="C41" s="9"/>
      <c r="D41" s="9"/>
      <c r="E41" s="22"/>
      <c r="F41" s="11" t="str">
        <f aca="false">IF($C41="","",IF(COUNTIF($C$68:$C$117,$C41)&gt;0,"Reimbursement found — verify amount","NOT REIMBURSED — check &amp; claim"))</f>
        <v/>
      </c>
    </row>
    <row r="42" customFormat="false" ht="15" hidden="false" customHeight="false" outlineLevel="0" collapsed="false">
      <c r="B42" s="10"/>
      <c r="C42" s="9"/>
      <c r="D42" s="9"/>
      <c r="E42" s="22"/>
      <c r="F42" s="11" t="str">
        <f aca="false">IF($C42="","",IF(COUNTIF($C$68:$C$117,$C42)&gt;0,"Reimbursement found — verify amount","NOT REIMBURSED — check &amp; claim"))</f>
        <v/>
      </c>
    </row>
    <row r="43" customFormat="false" ht="15" hidden="false" customHeight="false" outlineLevel="0" collapsed="false">
      <c r="B43" s="10"/>
      <c r="C43" s="9"/>
      <c r="D43" s="9"/>
      <c r="E43" s="22"/>
      <c r="F43" s="11" t="str">
        <f aca="false">IF($C43="","",IF(COUNTIF($C$68:$C$117,$C43)&gt;0,"Reimbursement found — verify amount","NOT REIMBURSED — check &amp; claim"))</f>
        <v/>
      </c>
    </row>
    <row r="44" customFormat="false" ht="15" hidden="false" customHeight="false" outlineLevel="0" collapsed="false">
      <c r="B44" s="10"/>
      <c r="C44" s="9"/>
      <c r="D44" s="9"/>
      <c r="E44" s="22"/>
      <c r="F44" s="11" t="str">
        <f aca="false">IF($C44="","",IF(COUNTIF($C$68:$C$117,$C44)&gt;0,"Reimbursement found — verify amount","NOT REIMBURSED — check &amp; claim"))</f>
        <v/>
      </c>
    </row>
    <row r="45" customFormat="false" ht="15" hidden="false" customHeight="false" outlineLevel="0" collapsed="false">
      <c r="B45" s="10"/>
      <c r="C45" s="9"/>
      <c r="D45" s="9"/>
      <c r="E45" s="22"/>
      <c r="F45" s="11" t="str">
        <f aca="false">IF($C45="","",IF(COUNTIF($C$68:$C$117,$C45)&gt;0,"Reimbursement found — verify amount","NOT REIMBURSED — check &amp; claim"))</f>
        <v/>
      </c>
    </row>
    <row r="46" customFormat="false" ht="15" hidden="false" customHeight="false" outlineLevel="0" collapsed="false">
      <c r="B46" s="10"/>
      <c r="C46" s="9"/>
      <c r="D46" s="9"/>
      <c r="E46" s="22"/>
      <c r="F46" s="11" t="str">
        <f aca="false">IF($C46="","",IF(COUNTIF($C$68:$C$117,$C46)&gt;0,"Reimbursement found — verify amount","NOT REIMBURSED — check &amp; claim"))</f>
        <v/>
      </c>
    </row>
    <row r="47" customFormat="false" ht="15" hidden="false" customHeight="false" outlineLevel="0" collapsed="false">
      <c r="B47" s="10"/>
      <c r="C47" s="9"/>
      <c r="D47" s="9"/>
      <c r="E47" s="22"/>
      <c r="F47" s="11" t="str">
        <f aca="false">IF($C47="","",IF(COUNTIF($C$68:$C$117,$C47)&gt;0,"Reimbursement found — verify amount","NOT REIMBURSED — check &amp; claim"))</f>
        <v/>
      </c>
    </row>
    <row r="48" customFormat="false" ht="15" hidden="false" customHeight="false" outlineLevel="0" collapsed="false">
      <c r="B48" s="10"/>
      <c r="C48" s="9"/>
      <c r="D48" s="9"/>
      <c r="E48" s="22"/>
      <c r="F48" s="11" t="str">
        <f aca="false">IF($C48="","",IF(COUNTIF($C$68:$C$117,$C48)&gt;0,"Reimbursement found — verify amount","NOT REIMBURSED — check &amp; claim"))</f>
        <v/>
      </c>
    </row>
    <row r="49" customFormat="false" ht="15" hidden="false" customHeight="false" outlineLevel="0" collapsed="false">
      <c r="B49" s="10"/>
      <c r="C49" s="9"/>
      <c r="D49" s="9"/>
      <c r="E49" s="22"/>
      <c r="F49" s="11" t="str">
        <f aca="false">IF($C49="","",IF(COUNTIF($C$68:$C$117,$C49)&gt;0,"Reimbursement found — verify amount","NOT REIMBURSED — check &amp; claim"))</f>
        <v/>
      </c>
    </row>
    <row r="50" customFormat="false" ht="15" hidden="false" customHeight="false" outlineLevel="0" collapsed="false">
      <c r="B50" s="10"/>
      <c r="C50" s="9"/>
      <c r="D50" s="9"/>
      <c r="E50" s="22"/>
      <c r="F50" s="11" t="str">
        <f aca="false">IF($C50="","",IF(COUNTIF($C$68:$C$117,$C50)&gt;0,"Reimbursement found — verify amount","NOT REIMBURSED — check &amp; claim"))</f>
        <v/>
      </c>
    </row>
    <row r="51" customFormat="false" ht="15" hidden="false" customHeight="false" outlineLevel="0" collapsed="false">
      <c r="B51" s="10"/>
      <c r="C51" s="9"/>
      <c r="D51" s="9"/>
      <c r="E51" s="22"/>
      <c r="F51" s="11" t="str">
        <f aca="false">IF($C51="","",IF(COUNTIF($C$68:$C$117,$C51)&gt;0,"Reimbursement found — verify amount","NOT REIMBURSED — check &amp; claim"))</f>
        <v/>
      </c>
    </row>
    <row r="52" customFormat="false" ht="15" hidden="false" customHeight="false" outlineLevel="0" collapsed="false">
      <c r="B52" s="10"/>
      <c r="C52" s="9"/>
      <c r="D52" s="9"/>
      <c r="E52" s="22"/>
      <c r="F52" s="11" t="str">
        <f aca="false">IF($C52="","",IF(COUNTIF($C$68:$C$117,$C52)&gt;0,"Reimbursement found — verify amount","NOT REIMBURSED — check &amp; claim"))</f>
        <v/>
      </c>
    </row>
    <row r="53" customFormat="false" ht="15" hidden="false" customHeight="false" outlineLevel="0" collapsed="false">
      <c r="B53" s="10"/>
      <c r="C53" s="9"/>
      <c r="D53" s="9"/>
      <c r="E53" s="22"/>
      <c r="F53" s="11" t="str">
        <f aca="false">IF($C53="","",IF(COUNTIF($C$68:$C$117,$C53)&gt;0,"Reimbursement found — verify amount","NOT REIMBURSED — check &amp; claim"))</f>
        <v/>
      </c>
    </row>
    <row r="54" customFormat="false" ht="15" hidden="false" customHeight="false" outlineLevel="0" collapsed="false">
      <c r="B54" s="10"/>
      <c r="C54" s="9"/>
      <c r="D54" s="9"/>
      <c r="E54" s="22"/>
      <c r="F54" s="11" t="str">
        <f aca="false">IF($C54="","",IF(COUNTIF($C$68:$C$117,$C54)&gt;0,"Reimbursement found — verify amount","NOT REIMBURSED — check &amp; claim"))</f>
        <v/>
      </c>
    </row>
    <row r="55" customFormat="false" ht="15" hidden="false" customHeight="false" outlineLevel="0" collapsed="false">
      <c r="B55" s="10"/>
      <c r="C55" s="9"/>
      <c r="D55" s="9"/>
      <c r="E55" s="22"/>
      <c r="F55" s="11" t="str">
        <f aca="false">IF($C55="","",IF(COUNTIF($C$68:$C$117,$C55)&gt;0,"Reimbursement found — verify amount","NOT REIMBURSED — check &amp; claim"))</f>
        <v/>
      </c>
    </row>
    <row r="56" customFormat="false" ht="15" hidden="false" customHeight="false" outlineLevel="0" collapsed="false">
      <c r="B56" s="10"/>
      <c r="C56" s="9"/>
      <c r="D56" s="9"/>
      <c r="E56" s="22"/>
      <c r="F56" s="11" t="str">
        <f aca="false">IF($C56="","",IF(COUNTIF($C$68:$C$117,$C56)&gt;0,"Reimbursement found — verify amount","NOT REIMBURSED — check &amp; claim"))</f>
        <v/>
      </c>
    </row>
    <row r="57" customFormat="false" ht="15" hidden="false" customHeight="false" outlineLevel="0" collapsed="false">
      <c r="B57" s="10"/>
      <c r="C57" s="9"/>
      <c r="D57" s="9"/>
      <c r="E57" s="22"/>
      <c r="F57" s="11" t="str">
        <f aca="false">IF($C57="","",IF(COUNTIF($C$68:$C$117,$C57)&gt;0,"Reimbursement found — verify amount","NOT REIMBURSED — check &amp; claim"))</f>
        <v/>
      </c>
    </row>
    <row r="58" customFormat="false" ht="15" hidden="false" customHeight="false" outlineLevel="0" collapsed="false">
      <c r="B58" s="10"/>
      <c r="C58" s="9"/>
      <c r="D58" s="9"/>
      <c r="E58" s="22"/>
      <c r="F58" s="11" t="str">
        <f aca="false">IF($C58="","",IF(COUNTIF($C$68:$C$117,$C58)&gt;0,"Reimbursement found — verify amount","NOT REIMBURSED — check &amp; claim"))</f>
        <v/>
      </c>
    </row>
    <row r="59" customFormat="false" ht="15" hidden="false" customHeight="false" outlineLevel="0" collapsed="false">
      <c r="B59" s="10"/>
      <c r="C59" s="9"/>
      <c r="D59" s="9"/>
      <c r="E59" s="22"/>
      <c r="F59" s="11" t="str">
        <f aca="false">IF($C59="","",IF(COUNTIF($C$68:$C$117,$C59)&gt;0,"Reimbursement found — verify amount","NOT REIMBURSED — check &amp; claim"))</f>
        <v/>
      </c>
    </row>
    <row r="60" customFormat="false" ht="15" hidden="false" customHeight="false" outlineLevel="0" collapsed="false">
      <c r="B60" s="10"/>
      <c r="C60" s="9"/>
      <c r="D60" s="9"/>
      <c r="E60" s="22"/>
      <c r="F60" s="11" t="str">
        <f aca="false">IF($C60="","",IF(COUNTIF($C$68:$C$117,$C60)&gt;0,"Reimbursement found — verify amount","NOT REIMBURSED — check &amp; claim"))</f>
        <v/>
      </c>
    </row>
    <row r="61" customFormat="false" ht="15" hidden="false" customHeight="false" outlineLevel="0" collapsed="false">
      <c r="B61" s="10"/>
      <c r="C61" s="9"/>
      <c r="D61" s="9"/>
      <c r="E61" s="22"/>
      <c r="F61" s="11" t="str">
        <f aca="false">IF($C61="","",IF(COUNTIF($C$68:$C$117,$C61)&gt;0,"Reimbursement found — verify amount","NOT REIMBURSED — check &amp; claim"))</f>
        <v/>
      </c>
    </row>
    <row r="64" customFormat="false" ht="95.5" hidden="false" customHeight="false" outlineLevel="0" collapsed="false">
      <c r="B64" s="3" t="s">
        <v>390</v>
      </c>
    </row>
    <row r="67" customFormat="false" ht="15" hidden="false" customHeight="false" outlineLevel="0" collapsed="false">
      <c r="B67" s="4" t="s">
        <v>381</v>
      </c>
      <c r="C67" s="4" t="s">
        <v>382</v>
      </c>
      <c r="D67" s="4" t="s">
        <v>391</v>
      </c>
    </row>
    <row r="68" customFormat="false" ht="15" hidden="false" customHeight="false" outlineLevel="0" collapsed="false">
      <c r="B68" s="10" t="n">
        <v>46224</v>
      </c>
      <c r="C68" s="9" t="s">
        <v>386</v>
      </c>
      <c r="D68" s="25" t="n">
        <v>18.4</v>
      </c>
    </row>
    <row r="69" customFormat="false" ht="15" hidden="false" customHeight="false" outlineLevel="0" collapsed="false">
      <c r="B69" s="10"/>
      <c r="C69" s="9"/>
      <c r="D69" s="25"/>
    </row>
    <row r="70" customFormat="false" ht="15" hidden="false" customHeight="false" outlineLevel="0" collapsed="false">
      <c r="B70" s="10"/>
      <c r="C70" s="9"/>
      <c r="D70" s="25"/>
    </row>
    <row r="71" customFormat="false" ht="15" hidden="false" customHeight="false" outlineLevel="0" collapsed="false">
      <c r="B71" s="10"/>
      <c r="C71" s="9"/>
      <c r="D71" s="25"/>
    </row>
    <row r="72" customFormat="false" ht="15" hidden="false" customHeight="false" outlineLevel="0" collapsed="false">
      <c r="B72" s="10"/>
      <c r="C72" s="9"/>
      <c r="D72" s="25"/>
    </row>
    <row r="73" customFormat="false" ht="15" hidden="false" customHeight="false" outlineLevel="0" collapsed="false">
      <c r="B73" s="10"/>
      <c r="C73" s="9"/>
      <c r="D73" s="25"/>
    </row>
    <row r="74" customFormat="false" ht="15" hidden="false" customHeight="false" outlineLevel="0" collapsed="false">
      <c r="B74" s="10"/>
      <c r="C74" s="9"/>
      <c r="D74" s="25"/>
    </row>
    <row r="75" customFormat="false" ht="15" hidden="false" customHeight="false" outlineLevel="0" collapsed="false">
      <c r="B75" s="10"/>
      <c r="C75" s="9"/>
      <c r="D75" s="25"/>
    </row>
    <row r="76" customFormat="false" ht="15" hidden="false" customHeight="false" outlineLevel="0" collapsed="false">
      <c r="B76" s="10"/>
      <c r="C76" s="9"/>
      <c r="D76" s="25"/>
    </row>
    <row r="77" customFormat="false" ht="15" hidden="false" customHeight="false" outlineLevel="0" collapsed="false">
      <c r="B77" s="10"/>
      <c r="C77" s="9"/>
      <c r="D77" s="25"/>
    </row>
    <row r="78" customFormat="false" ht="15" hidden="false" customHeight="false" outlineLevel="0" collapsed="false">
      <c r="B78" s="10"/>
      <c r="C78" s="9"/>
      <c r="D78" s="25"/>
    </row>
    <row r="79" customFormat="false" ht="15" hidden="false" customHeight="false" outlineLevel="0" collapsed="false">
      <c r="B79" s="10"/>
      <c r="C79" s="9"/>
      <c r="D79" s="25"/>
    </row>
    <row r="80" customFormat="false" ht="15" hidden="false" customHeight="false" outlineLevel="0" collapsed="false">
      <c r="B80" s="10"/>
      <c r="C80" s="9"/>
      <c r="D80" s="25"/>
    </row>
    <row r="81" customFormat="false" ht="15" hidden="false" customHeight="false" outlineLevel="0" collapsed="false">
      <c r="B81" s="10"/>
      <c r="C81" s="9"/>
      <c r="D81" s="25"/>
    </row>
    <row r="82" customFormat="false" ht="15" hidden="false" customHeight="false" outlineLevel="0" collapsed="false">
      <c r="B82" s="10"/>
      <c r="C82" s="9"/>
      <c r="D82" s="25"/>
    </row>
    <row r="83" customFormat="false" ht="15" hidden="false" customHeight="false" outlineLevel="0" collapsed="false">
      <c r="B83" s="10"/>
      <c r="C83" s="9"/>
      <c r="D83" s="25"/>
    </row>
    <row r="84" customFormat="false" ht="15" hidden="false" customHeight="false" outlineLevel="0" collapsed="false">
      <c r="B84" s="10"/>
      <c r="C84" s="9"/>
      <c r="D84" s="25"/>
    </row>
    <row r="85" customFormat="false" ht="15" hidden="false" customHeight="false" outlineLevel="0" collapsed="false">
      <c r="B85" s="10"/>
      <c r="C85" s="9"/>
      <c r="D85" s="25"/>
    </row>
    <row r="86" customFormat="false" ht="15" hidden="false" customHeight="false" outlineLevel="0" collapsed="false">
      <c r="B86" s="10"/>
      <c r="C86" s="9"/>
      <c r="D86" s="25"/>
    </row>
    <row r="87" customFormat="false" ht="15" hidden="false" customHeight="false" outlineLevel="0" collapsed="false">
      <c r="B87" s="10"/>
      <c r="C87" s="9"/>
      <c r="D87" s="25"/>
    </row>
    <row r="88" customFormat="false" ht="15" hidden="false" customHeight="false" outlineLevel="0" collapsed="false">
      <c r="B88" s="10"/>
      <c r="C88" s="9"/>
      <c r="D88" s="25"/>
    </row>
    <row r="89" customFormat="false" ht="15" hidden="false" customHeight="false" outlineLevel="0" collapsed="false">
      <c r="B89" s="10"/>
      <c r="C89" s="9"/>
      <c r="D89" s="25"/>
    </row>
    <row r="90" customFormat="false" ht="15" hidden="false" customHeight="false" outlineLevel="0" collapsed="false">
      <c r="B90" s="10"/>
      <c r="C90" s="9"/>
      <c r="D90" s="25"/>
    </row>
    <row r="91" customFormat="false" ht="15" hidden="false" customHeight="false" outlineLevel="0" collapsed="false">
      <c r="B91" s="10"/>
      <c r="C91" s="9"/>
      <c r="D91" s="25"/>
    </row>
    <row r="92" customFormat="false" ht="15" hidden="false" customHeight="false" outlineLevel="0" collapsed="false">
      <c r="B92" s="10"/>
      <c r="C92" s="9"/>
      <c r="D92" s="25"/>
    </row>
    <row r="93" customFormat="false" ht="15" hidden="false" customHeight="false" outlineLevel="0" collapsed="false">
      <c r="B93" s="10"/>
      <c r="C93" s="9"/>
      <c r="D93" s="25"/>
    </row>
    <row r="94" customFormat="false" ht="15" hidden="false" customHeight="false" outlineLevel="0" collapsed="false">
      <c r="B94" s="10"/>
      <c r="C94" s="9"/>
      <c r="D94" s="25"/>
    </row>
    <row r="95" customFormat="false" ht="15" hidden="false" customHeight="false" outlineLevel="0" collapsed="false">
      <c r="B95" s="10"/>
      <c r="C95" s="9"/>
      <c r="D95" s="25"/>
    </row>
    <row r="96" customFormat="false" ht="15" hidden="false" customHeight="false" outlineLevel="0" collapsed="false">
      <c r="B96" s="10"/>
      <c r="C96" s="9"/>
      <c r="D96" s="25"/>
    </row>
    <row r="97" customFormat="false" ht="15" hidden="false" customHeight="false" outlineLevel="0" collapsed="false">
      <c r="B97" s="10"/>
      <c r="C97" s="9"/>
      <c r="D97" s="25"/>
    </row>
    <row r="98" customFormat="false" ht="15" hidden="false" customHeight="false" outlineLevel="0" collapsed="false">
      <c r="B98" s="10"/>
      <c r="C98" s="9"/>
      <c r="D98" s="25"/>
    </row>
    <row r="99" customFormat="false" ht="15" hidden="false" customHeight="false" outlineLevel="0" collapsed="false">
      <c r="B99" s="10"/>
      <c r="C99" s="9"/>
      <c r="D99" s="25"/>
    </row>
    <row r="100" customFormat="false" ht="15" hidden="false" customHeight="false" outlineLevel="0" collapsed="false">
      <c r="B100" s="10"/>
      <c r="C100" s="9"/>
      <c r="D100" s="25"/>
    </row>
    <row r="101" customFormat="false" ht="15" hidden="false" customHeight="false" outlineLevel="0" collapsed="false">
      <c r="B101" s="10"/>
      <c r="C101" s="9"/>
      <c r="D101" s="25"/>
    </row>
    <row r="102" customFormat="false" ht="15" hidden="false" customHeight="false" outlineLevel="0" collapsed="false">
      <c r="B102" s="10"/>
      <c r="C102" s="9"/>
      <c r="D102" s="25"/>
    </row>
    <row r="103" customFormat="false" ht="15" hidden="false" customHeight="false" outlineLevel="0" collapsed="false">
      <c r="B103" s="10"/>
      <c r="C103" s="9"/>
      <c r="D103" s="25"/>
    </row>
    <row r="104" customFormat="false" ht="15" hidden="false" customHeight="false" outlineLevel="0" collapsed="false">
      <c r="B104" s="10"/>
      <c r="C104" s="9"/>
      <c r="D104" s="25"/>
    </row>
    <row r="105" customFormat="false" ht="15" hidden="false" customHeight="false" outlineLevel="0" collapsed="false">
      <c r="B105" s="10"/>
      <c r="C105" s="9"/>
      <c r="D105" s="25"/>
    </row>
    <row r="106" customFormat="false" ht="15" hidden="false" customHeight="false" outlineLevel="0" collapsed="false">
      <c r="B106" s="10"/>
      <c r="C106" s="9"/>
      <c r="D106" s="25"/>
    </row>
    <row r="107" customFormat="false" ht="15" hidden="false" customHeight="false" outlineLevel="0" collapsed="false">
      <c r="B107" s="10"/>
      <c r="C107" s="9"/>
      <c r="D107" s="25"/>
    </row>
    <row r="108" customFormat="false" ht="15" hidden="false" customHeight="false" outlineLevel="0" collapsed="false">
      <c r="B108" s="10"/>
      <c r="C108" s="9"/>
      <c r="D108" s="25"/>
    </row>
    <row r="109" customFormat="false" ht="15" hidden="false" customHeight="false" outlineLevel="0" collapsed="false">
      <c r="B109" s="10"/>
      <c r="C109" s="9"/>
      <c r="D109" s="25"/>
    </row>
    <row r="110" customFormat="false" ht="15" hidden="false" customHeight="false" outlineLevel="0" collapsed="false">
      <c r="B110" s="10"/>
      <c r="C110" s="9"/>
      <c r="D110" s="25"/>
    </row>
    <row r="111" customFormat="false" ht="15" hidden="false" customHeight="false" outlineLevel="0" collapsed="false">
      <c r="B111" s="10"/>
      <c r="C111" s="9"/>
      <c r="D111" s="25"/>
    </row>
    <row r="112" customFormat="false" ht="15" hidden="false" customHeight="false" outlineLevel="0" collapsed="false">
      <c r="B112" s="10"/>
      <c r="C112" s="9"/>
      <c r="D112" s="25"/>
    </row>
    <row r="113" customFormat="false" ht="15" hidden="false" customHeight="false" outlineLevel="0" collapsed="false">
      <c r="B113" s="10"/>
      <c r="C113" s="9"/>
      <c r="D113" s="25"/>
    </row>
    <row r="114" customFormat="false" ht="15" hidden="false" customHeight="false" outlineLevel="0" collapsed="false">
      <c r="B114" s="10"/>
      <c r="C114" s="9"/>
      <c r="D114" s="25"/>
    </row>
    <row r="115" customFormat="false" ht="15" hidden="false" customHeight="false" outlineLevel="0" collapsed="false">
      <c r="B115" s="10"/>
      <c r="C115" s="9"/>
      <c r="D115" s="25"/>
    </row>
    <row r="116" customFormat="false" ht="15" hidden="false" customHeight="false" outlineLevel="0" collapsed="false">
      <c r="B116" s="10"/>
      <c r="C116" s="9"/>
      <c r="D116" s="25"/>
    </row>
    <row r="117" customFormat="false" ht="15" hidden="false" customHeight="false" outlineLevel="0" collapsed="false">
      <c r="B117" s="10"/>
      <c r="C117" s="9"/>
      <c r="D117" s="25"/>
    </row>
    <row r="120" customFormat="false" ht="15" hidden="false" customHeight="false" outlineLevel="0" collapsed="false">
      <c r="B120" s="4" t="s">
        <v>392</v>
      </c>
    </row>
    <row r="121" customFormat="false" ht="15" hidden="false" customHeight="false" outlineLevel="0" collapsed="false">
      <c r="B121" s="11" t="s">
        <v>393</v>
      </c>
      <c r="C121" s="33" t="n">
        <v>25</v>
      </c>
    </row>
    <row r="122" customFormat="false" ht="15" hidden="false" customHeight="false" outlineLevel="0" collapsed="false">
      <c r="B122" s="11" t="s">
        <v>394</v>
      </c>
      <c r="C122" s="33" t="n">
        <v>18</v>
      </c>
    </row>
    <row r="123" customFormat="false" ht="15" hidden="false" customHeight="false" outlineLevel="0" collapsed="false">
      <c r="B123" s="11" t="s">
        <v>395</v>
      </c>
      <c r="C123" s="33" t="n">
        <v>4</v>
      </c>
    </row>
    <row r="124" customFormat="false" ht="15" hidden="false" customHeight="false" outlineLevel="0" collapsed="false">
      <c r="B124" s="11" t="s">
        <v>396</v>
      </c>
      <c r="C124" s="22" t="n">
        <v>350</v>
      </c>
    </row>
    <row r="125" customFormat="false" ht="15" hidden="false" customHeight="false" outlineLevel="0" collapsed="false">
      <c r="B125" s="11" t="s">
        <v>397</v>
      </c>
      <c r="C125" s="25" t="n">
        <v>4.55</v>
      </c>
    </row>
    <row r="126" customFormat="false" ht="15" hidden="false" customHeight="false" outlineLevel="0" collapsed="false">
      <c r="B126" s="11" t="s">
        <v>398</v>
      </c>
      <c r="C126" s="14" t="n">
        <f aca="false">ROUND(C121*C122*C123/1000,2)</f>
        <v>1.8</v>
      </c>
    </row>
    <row r="127" customFormat="false" ht="15" hidden="false" customHeight="false" outlineLevel="0" collapsed="false">
      <c r="B127" s="11" t="s">
        <v>399</v>
      </c>
      <c r="C127" s="34" t="n">
        <f aca="false">MAX(C121:C123)</f>
        <v>25</v>
      </c>
    </row>
    <row r="129" customFormat="false" ht="199.95" hidden="false" customHeight="false" outlineLevel="0" collapsed="false">
      <c r="B129" s="3" t="s">
        <v>400</v>
      </c>
    </row>
    <row r="131" customFormat="false" ht="15" hidden="false" customHeight="false" outlineLevel="0" collapsed="false">
      <c r="B131" s="4" t="s">
        <v>401</v>
      </c>
      <c r="C131" s="4" t="s">
        <v>402</v>
      </c>
    </row>
    <row r="132" customFormat="false" ht="46.25" hidden="false" customHeight="false" outlineLevel="0" collapsed="false">
      <c r="B132" s="2" t="s">
        <v>403</v>
      </c>
      <c r="C132" s="9" t="s">
        <v>260</v>
      </c>
    </row>
    <row r="133" customFormat="false" ht="35.05" hidden="false" customHeight="false" outlineLevel="0" collapsed="false">
      <c r="B133" s="2" t="s">
        <v>404</v>
      </c>
      <c r="C133" s="9" t="s">
        <v>260</v>
      </c>
    </row>
    <row r="134" customFormat="false" ht="35.05" hidden="false" customHeight="false" outlineLevel="0" collapsed="false">
      <c r="B134" s="2" t="s">
        <v>405</v>
      </c>
      <c r="C134" s="9" t="s">
        <v>260</v>
      </c>
    </row>
    <row r="135" customFormat="false" ht="57.45" hidden="false" customHeight="false" outlineLevel="0" collapsed="false">
      <c r="B135" s="2" t="s">
        <v>406</v>
      </c>
      <c r="C135" s="9" t="s">
        <v>260</v>
      </c>
    </row>
    <row r="136" customFormat="false" ht="46.25" hidden="false" customHeight="false" outlineLevel="0" collapsed="false">
      <c r="B136" s="2" t="s">
        <v>407</v>
      </c>
      <c r="C136" s="9" t="s">
        <v>260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B1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58"/>
  </cols>
  <sheetData>
    <row r="1" customFormat="false" ht="15" hidden="false" customHeight="false" outlineLevel="0" collapsed="false">
      <c r="B1" s="6" t="str">
        <f aca="false">HYPERLINK("#Start!B2","← Start")</f>
        <v>← Start</v>
      </c>
    </row>
    <row r="2" customFormat="false" ht="15" hidden="false" customHeight="false" outlineLevel="0" collapsed="false">
      <c r="B2" s="1" t="s">
        <v>408</v>
      </c>
    </row>
    <row r="3" customFormat="false" ht="57.45" hidden="false" customHeight="false" outlineLevel="0" collapsed="false">
      <c r="B3" s="2" t="s">
        <v>409</v>
      </c>
    </row>
    <row r="5" customFormat="false" ht="15" hidden="false" customHeight="false" outlineLevel="0" collapsed="false">
      <c r="B5" s="11" t="s">
        <v>410</v>
      </c>
      <c r="C5" s="9" t="s">
        <v>411</v>
      </c>
    </row>
    <row r="7" customFormat="false" ht="15" hidden="false" customHeight="false" outlineLevel="0" collapsed="false">
      <c r="B7" s="4" t="s">
        <v>412</v>
      </c>
      <c r="C7" s="4" t="s">
        <v>413</v>
      </c>
      <c r="D7" s="4" t="s">
        <v>414</v>
      </c>
    </row>
    <row r="8" customFormat="false" ht="15" hidden="false" customHeight="false" outlineLevel="0" collapsed="false">
      <c r="B8" s="9" t="s">
        <v>415</v>
      </c>
      <c r="C8" s="22" t="n">
        <v>46</v>
      </c>
      <c r="D8" s="15" t="n">
        <f aca="false">IF(C8="","",C8/SUM($C$8:$C$17))</f>
        <v>0.425925925925926</v>
      </c>
    </row>
    <row r="9" customFormat="false" ht="15" hidden="false" customHeight="false" outlineLevel="0" collapsed="false">
      <c r="B9" s="9" t="s">
        <v>416</v>
      </c>
      <c r="C9" s="22" t="n">
        <v>21</v>
      </c>
      <c r="D9" s="15" t="n">
        <f aca="false">IF(C9="","",C9/SUM($C$8:$C$17))</f>
        <v>0.194444444444444</v>
      </c>
    </row>
    <row r="10" customFormat="false" ht="15" hidden="false" customHeight="false" outlineLevel="0" collapsed="false">
      <c r="B10" s="9" t="s">
        <v>417</v>
      </c>
      <c r="C10" s="22" t="n">
        <v>18</v>
      </c>
      <c r="D10" s="15" t="n">
        <f aca="false">IF(C10="","",C10/SUM($C$8:$C$17))</f>
        <v>0.166666666666667</v>
      </c>
    </row>
    <row r="11" customFormat="false" ht="15" hidden="false" customHeight="false" outlineLevel="0" collapsed="false">
      <c r="B11" s="9" t="s">
        <v>418</v>
      </c>
      <c r="C11" s="22" t="n">
        <v>15</v>
      </c>
      <c r="D11" s="15" t="n">
        <f aca="false">IF(C11="","",C11/SUM($C$8:$C$17))</f>
        <v>0.138888888888889</v>
      </c>
    </row>
    <row r="12" customFormat="false" ht="15" hidden="false" customHeight="false" outlineLevel="0" collapsed="false">
      <c r="B12" s="9" t="s">
        <v>419</v>
      </c>
      <c r="C12" s="22" t="n">
        <v>8</v>
      </c>
      <c r="D12" s="15" t="n">
        <f aca="false">IF(C12="","",C12/SUM($C$8:$C$17))</f>
        <v>0.0740740740740741</v>
      </c>
    </row>
    <row r="13" customFormat="false" ht="15" hidden="false" customHeight="false" outlineLevel="0" collapsed="false">
      <c r="B13" s="9"/>
      <c r="C13" s="22"/>
      <c r="D13" s="15" t="str">
        <f aca="false">IF(C13="","",C13/SUM($C$8:$C$17))</f>
        <v/>
      </c>
    </row>
    <row r="14" customFormat="false" ht="15" hidden="false" customHeight="false" outlineLevel="0" collapsed="false">
      <c r="B14" s="9"/>
      <c r="C14" s="22"/>
      <c r="D14" s="15" t="str">
        <f aca="false">IF(C14="","",C14/SUM($C$8:$C$17))</f>
        <v/>
      </c>
    </row>
    <row r="15" customFormat="false" ht="15" hidden="false" customHeight="false" outlineLevel="0" collapsed="false">
      <c r="B15" s="9"/>
      <c r="C15" s="22"/>
      <c r="D15" s="15" t="str">
        <f aca="false">IF(C15="","",C15/SUM($C$8:$C$17))</f>
        <v/>
      </c>
    </row>
    <row r="16" customFormat="false" ht="15" hidden="false" customHeight="false" outlineLevel="0" collapsed="false">
      <c r="B16" s="9"/>
      <c r="C16" s="22"/>
      <c r="D16" s="15" t="str">
        <f aca="false">IF(C16="","",C16/SUM($C$8:$C$17))</f>
        <v/>
      </c>
    </row>
    <row r="17" customFormat="false" ht="15" hidden="false" customHeight="false" outlineLevel="0" collapsed="false">
      <c r="B17" s="9"/>
      <c r="C17" s="22"/>
      <c r="D17" s="15" t="str">
        <f aca="false">IF(C17="","",C17/SUM($C$8:$C$17))</f>
        <v/>
      </c>
    </row>
    <row r="19" customFormat="false" ht="15" hidden="false" customHeight="false" outlineLevel="0" collapsed="false">
      <c r="B19" s="5" t="s">
        <v>420</v>
      </c>
      <c r="C19" s="5" t="str">
        <f aca="false">IFERROR(INDEX(B8:B17,MATCH(MAX(C8:C17),C8:C17,0)),"—")</f>
        <v>Wobbles / mount comes loose</v>
      </c>
    </row>
    <row r="20" customFormat="false" ht="15" hidden="false" customHeight="false" outlineLevel="0" collapsed="false">
      <c r="B20" s="5" t="s">
        <v>421</v>
      </c>
      <c r="C20" s="18" t="n">
        <f aca="false">IFERROR(MAX(C8:C17)/SUM(C8:C17),"")</f>
        <v>0.425925925925926</v>
      </c>
    </row>
    <row r="21" customFormat="false" ht="15" hidden="false" customHeight="false" outlineLevel="0" collapsed="false">
      <c r="B21" s="5" t="s">
        <v>94</v>
      </c>
      <c r="C21" s="5" t="str">
        <f aca="false">IF(C20="","",IF(C20&gt;=0.4,"≥40% — you have an attack hypothesis (Sheet 4, block B).","No dominant theme — weak differentiation basis."))</f>
        <v>≥40% — you have an attack hypothesis (Sheet 4, block B).</v>
      </c>
    </row>
    <row r="23" customFormat="false" ht="15" hidden="false" customHeight="false" outlineLevel="0" collapsed="false">
      <c r="B23" s="4" t="s">
        <v>422</v>
      </c>
      <c r="C23" s="4"/>
    </row>
    <row r="24" customFormat="false" ht="23.85" hidden="false" customHeight="false" outlineLevel="0" collapsed="false">
      <c r="B24" s="2" t="s">
        <v>423</v>
      </c>
      <c r="C24" s="9" t="s">
        <v>260</v>
      </c>
    </row>
    <row r="25" customFormat="false" ht="23.85" hidden="false" customHeight="false" outlineLevel="0" collapsed="false">
      <c r="B25" s="2" t="s">
        <v>424</v>
      </c>
      <c r="C25" s="9" t="s">
        <v>260</v>
      </c>
    </row>
    <row r="26" customFormat="false" ht="23.85" hidden="false" customHeight="false" outlineLevel="0" collapsed="false">
      <c r="B26" s="2" t="s">
        <v>425</v>
      </c>
      <c r="C26" s="9" t="s">
        <v>260</v>
      </c>
    </row>
    <row r="27" customFormat="false" ht="15" hidden="false" customHeight="false" outlineLevel="0" collapsed="false">
      <c r="B27" s="2" t="s">
        <v>426</v>
      </c>
      <c r="C27" s="9" t="s">
        <v>260</v>
      </c>
    </row>
    <row r="28" customFormat="false" ht="23.85" hidden="false" customHeight="false" outlineLevel="0" collapsed="false">
      <c r="B28" s="2" t="s">
        <v>427</v>
      </c>
      <c r="C28" s="9" t="s">
        <v>260</v>
      </c>
    </row>
    <row r="29" customFormat="false" ht="23.85" hidden="false" customHeight="false" outlineLevel="0" collapsed="false">
      <c r="B29" s="2" t="s">
        <v>428</v>
      </c>
      <c r="C29" s="9" t="s">
        <v>260</v>
      </c>
    </row>
    <row r="30" customFormat="false" ht="15" hidden="false" customHeight="false" outlineLevel="0" collapsed="false">
      <c r="B30" s="5" t="s">
        <v>429</v>
      </c>
      <c r="C30" s="23" t="n">
        <f aca="false">COUNTIF(C24:C29,"YES")</f>
        <v>0</v>
      </c>
    </row>
    <row r="31" customFormat="false" ht="15" hidden="false" customHeight="false" outlineLevel="0" collapsed="false">
      <c r="B31" s="5" t="s">
        <v>94</v>
      </c>
      <c r="C31" s="5" t="str">
        <f aca="false">IF(C30&gt;=2,"Treat this review wall as partly fake — the moat is weaker than it looks (adjust Sheet 5, review moat).","No strong fake signals.")</f>
        <v>No strong fake signals.</v>
      </c>
    </row>
    <row r="33" customFormat="false" ht="32.8" hidden="false" customHeight="false" outlineLevel="0" collapsed="false">
      <c r="B33" s="3" t="s">
        <v>430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2026-08-18T12:22:54Z</dcterms:created>
  <dc:creator>openpyxl</dc:creator>
  <dc:description/>
  <dc:language>en-US</dc:language>
  <cp:lastModifiedBy/>
  <dcterms:modified xsi:type="dcterms:W3CDTF">2026-08-18T12:22:54Z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