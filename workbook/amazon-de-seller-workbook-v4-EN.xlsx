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van/Desktop/Helium Analysis/ANALYST/easestore-tools/workbook/"/>
    </mc:Choice>
  </mc:AlternateContent>
  <xr:revisionPtr revIDLastSave="0" documentId="13_ncr:1_{27273E16-F697-4343-BD00-534328004F39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tart" sheetId="1" r:id="rId1"/>
    <sheet name="Guide" sheetId="2" r:id="rId2"/>
    <sheet name="1 Seasonality" sheetId="3" r:id="rId3"/>
    <sheet name="2 Order timing" sheetId="4" r:id="rId4"/>
    <sheet name="3 Unit economics" sheetId="5" r:id="rId5"/>
    <sheet name="4 Selection" sheetId="6" r:id="rId6"/>
    <sheet name="5 Niche scorecard" sheetId="7" r:id="rId7"/>
    <sheet name="6 Order size" sheetId="8" r:id="rId8"/>
    <sheet name="7 PPC planner" sheetId="9" r:id="rId9"/>
    <sheet name="8 Cash flow" sheetId="10" r:id="rId10"/>
    <sheet name="9 Monthly P&amp;L" sheetId="11" r:id="rId11"/>
    <sheet name="10 Money recovery" sheetId="12" r:id="rId12"/>
    <sheet name="11 Review themes" sheetId="13" r:id="rId13"/>
    <sheet name="12 Multi-year pla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4" l="1"/>
  <c r="M28" i="14"/>
  <c r="L28" i="14"/>
  <c r="K28" i="14"/>
  <c r="J28" i="14"/>
  <c r="I28" i="14"/>
  <c r="H28" i="14"/>
  <c r="G28" i="14"/>
  <c r="F28" i="14"/>
  <c r="E28" i="14"/>
  <c r="D28" i="14"/>
  <c r="C28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N20" i="14"/>
  <c r="N27" i="14" s="1"/>
  <c r="M20" i="14"/>
  <c r="M27" i="14" s="1"/>
  <c r="L20" i="14"/>
  <c r="L27" i="14" s="1"/>
  <c r="K20" i="14"/>
  <c r="J20" i="14"/>
  <c r="I20" i="14"/>
  <c r="I27" i="14" s="1"/>
  <c r="H20" i="14"/>
  <c r="G20" i="14"/>
  <c r="G27" i="14" s="1"/>
  <c r="F20" i="14"/>
  <c r="F27" i="14" s="1"/>
  <c r="E20" i="14"/>
  <c r="E27" i="14" s="1"/>
  <c r="D20" i="14"/>
  <c r="D27" i="14" s="1"/>
  <c r="C20" i="14"/>
  <c r="C6" i="14"/>
  <c r="B1" i="14"/>
  <c r="C30" i="13"/>
  <c r="C31" i="13" s="1"/>
  <c r="C20" i="13"/>
  <c r="C21" i="13" s="1"/>
  <c r="C19" i="13"/>
  <c r="E20" i="1" s="1"/>
  <c r="D17" i="13"/>
  <c r="D16" i="13"/>
  <c r="D15" i="13"/>
  <c r="D14" i="13"/>
  <c r="D13" i="13"/>
  <c r="D12" i="13"/>
  <c r="D11" i="13"/>
  <c r="D10" i="13"/>
  <c r="D9" i="13"/>
  <c r="D8" i="13"/>
  <c r="B1" i="13"/>
  <c r="C127" i="12"/>
  <c r="C126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C5" i="12" s="1"/>
  <c r="E19" i="1" s="1"/>
  <c r="B1" i="12"/>
  <c r="H18" i="11"/>
  <c r="G18" i="11"/>
  <c r="M18" i="11" s="1"/>
  <c r="F18" i="11"/>
  <c r="E18" i="11"/>
  <c r="D18" i="11"/>
  <c r="C18" i="11"/>
  <c r="M17" i="11"/>
  <c r="L17" i="11"/>
  <c r="K17" i="11"/>
  <c r="J17" i="11"/>
  <c r="I17" i="11"/>
  <c r="M16" i="11"/>
  <c r="L16" i="11"/>
  <c r="K16" i="11"/>
  <c r="J16" i="11"/>
  <c r="I16" i="11"/>
  <c r="M15" i="11"/>
  <c r="L15" i="11"/>
  <c r="K15" i="11"/>
  <c r="J15" i="11"/>
  <c r="I15" i="11"/>
  <c r="M14" i="11"/>
  <c r="L14" i="11"/>
  <c r="K14" i="11"/>
  <c r="J14" i="11"/>
  <c r="I14" i="11"/>
  <c r="M13" i="11"/>
  <c r="L13" i="11"/>
  <c r="K13" i="11"/>
  <c r="J13" i="11"/>
  <c r="I13" i="11"/>
  <c r="M12" i="11"/>
  <c r="L12" i="11"/>
  <c r="K12" i="11"/>
  <c r="J12" i="11"/>
  <c r="I12" i="11"/>
  <c r="M11" i="11"/>
  <c r="L11" i="11"/>
  <c r="K11" i="11"/>
  <c r="J11" i="11"/>
  <c r="I11" i="11"/>
  <c r="M10" i="11"/>
  <c r="L10" i="11"/>
  <c r="K10" i="11"/>
  <c r="J10" i="11"/>
  <c r="I10" i="11"/>
  <c r="M9" i="11"/>
  <c r="L9" i="11"/>
  <c r="K9" i="11"/>
  <c r="J9" i="11"/>
  <c r="I9" i="11"/>
  <c r="M8" i="11"/>
  <c r="L8" i="11"/>
  <c r="K8" i="11"/>
  <c r="J8" i="11"/>
  <c r="I8" i="11"/>
  <c r="M7" i="11"/>
  <c r="L7" i="11"/>
  <c r="K7" i="11"/>
  <c r="J7" i="11"/>
  <c r="I7" i="11"/>
  <c r="M6" i="11"/>
  <c r="J6" i="11"/>
  <c r="J18" i="11" s="1"/>
  <c r="B1" i="11"/>
  <c r="E29" i="10"/>
  <c r="E28" i="10"/>
  <c r="E27" i="10"/>
  <c r="E26" i="10"/>
  <c r="E25" i="10"/>
  <c r="E24" i="10"/>
  <c r="E23" i="10"/>
  <c r="E22" i="10"/>
  <c r="E21" i="10"/>
  <c r="E18" i="10"/>
  <c r="B1" i="10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C25" i="9"/>
  <c r="C20" i="9"/>
  <c r="C18" i="9"/>
  <c r="J9" i="9"/>
  <c r="C6" i="9"/>
  <c r="B1" i="9"/>
  <c r="C41" i="8"/>
  <c r="C40" i="8"/>
  <c r="C19" i="8"/>
  <c r="C18" i="8"/>
  <c r="B1" i="8"/>
  <c r="K33" i="7"/>
  <c r="J33" i="7"/>
  <c r="I33" i="7"/>
  <c r="H33" i="7"/>
  <c r="G33" i="7"/>
  <c r="F33" i="7"/>
  <c r="E33" i="7"/>
  <c r="D33" i="7"/>
  <c r="K30" i="7"/>
  <c r="J30" i="7"/>
  <c r="I30" i="7"/>
  <c r="H30" i="7"/>
  <c r="G30" i="7"/>
  <c r="F30" i="7"/>
  <c r="E30" i="7"/>
  <c r="D30" i="7"/>
  <c r="K29" i="7"/>
  <c r="J29" i="7"/>
  <c r="I29" i="7"/>
  <c r="H29" i="7"/>
  <c r="G29" i="7"/>
  <c r="F29" i="7"/>
  <c r="E29" i="7"/>
  <c r="D29" i="7"/>
  <c r="K28" i="7"/>
  <c r="J28" i="7"/>
  <c r="I28" i="7"/>
  <c r="H28" i="7"/>
  <c r="G28" i="7"/>
  <c r="F28" i="7"/>
  <c r="E28" i="7"/>
  <c r="D28" i="7"/>
  <c r="K27" i="7"/>
  <c r="J27" i="7"/>
  <c r="I27" i="7"/>
  <c r="H27" i="7"/>
  <c r="G27" i="7"/>
  <c r="F27" i="7"/>
  <c r="E27" i="7"/>
  <c r="D27" i="7"/>
  <c r="K26" i="7"/>
  <c r="J26" i="7"/>
  <c r="I26" i="7"/>
  <c r="H26" i="7"/>
  <c r="G26" i="7"/>
  <c r="F26" i="7"/>
  <c r="E26" i="7"/>
  <c r="D26" i="7"/>
  <c r="K25" i="7"/>
  <c r="J25" i="7"/>
  <c r="I25" i="7"/>
  <c r="H25" i="7"/>
  <c r="G25" i="7"/>
  <c r="F25" i="7"/>
  <c r="E25" i="7"/>
  <c r="D25" i="7"/>
  <c r="K24" i="7"/>
  <c r="J24" i="7"/>
  <c r="I24" i="7"/>
  <c r="H24" i="7"/>
  <c r="G24" i="7"/>
  <c r="F24" i="7"/>
  <c r="E24" i="7"/>
  <c r="D24" i="7"/>
  <c r="K23" i="7"/>
  <c r="J23" i="7"/>
  <c r="I23" i="7"/>
  <c r="H23" i="7"/>
  <c r="G23" i="7"/>
  <c r="F23" i="7"/>
  <c r="E23" i="7"/>
  <c r="D23" i="7"/>
  <c r="K22" i="7"/>
  <c r="J22" i="7"/>
  <c r="I22" i="7"/>
  <c r="H22" i="7"/>
  <c r="G22" i="7"/>
  <c r="F22" i="7"/>
  <c r="E22" i="7"/>
  <c r="D22" i="7"/>
  <c r="K21" i="7"/>
  <c r="K32" i="7" s="1"/>
  <c r="K34" i="7" s="1"/>
  <c r="J21" i="7"/>
  <c r="J32" i="7" s="1"/>
  <c r="J34" i="7" s="1"/>
  <c r="I21" i="7"/>
  <c r="I32" i="7" s="1"/>
  <c r="I34" i="7" s="1"/>
  <c r="H21" i="7"/>
  <c r="H32" i="7" s="1"/>
  <c r="H34" i="7" s="1"/>
  <c r="G21" i="7"/>
  <c r="G32" i="7" s="1"/>
  <c r="G34" i="7" s="1"/>
  <c r="F21" i="7"/>
  <c r="F32" i="7" s="1"/>
  <c r="F34" i="7" s="1"/>
  <c r="E21" i="7"/>
  <c r="E32" i="7" s="1"/>
  <c r="E34" i="7" s="1"/>
  <c r="D21" i="7"/>
  <c r="D32" i="7" s="1"/>
  <c r="B1" i="7"/>
  <c r="B44" i="6"/>
  <c r="C43" i="6"/>
  <c r="C42" i="6"/>
  <c r="C34" i="6"/>
  <c r="C33" i="6"/>
  <c r="C32" i="6"/>
  <c r="B1" i="6"/>
  <c r="C49" i="5"/>
  <c r="C45" i="5"/>
  <c r="C47" i="5" s="1"/>
  <c r="C37" i="5"/>
  <c r="C28" i="5"/>
  <c r="C27" i="5"/>
  <c r="C48" i="5" s="1"/>
  <c r="C24" i="5"/>
  <c r="C23" i="5"/>
  <c r="C22" i="5"/>
  <c r="C21" i="5"/>
  <c r="C25" i="5" s="1"/>
  <c r="B1" i="5"/>
  <c r="C21" i="4"/>
  <c r="E11" i="1" s="1"/>
  <c r="C20" i="4"/>
  <c r="C18" i="4"/>
  <c r="C37" i="10" s="1"/>
  <c r="C38" i="10" s="1"/>
  <c r="B1" i="4"/>
  <c r="D22" i="3"/>
  <c r="C22" i="3"/>
  <c r="C31" i="3" s="1"/>
  <c r="C35" i="3" s="1"/>
  <c r="G21" i="3"/>
  <c r="E21" i="3"/>
  <c r="F21" i="3" s="1"/>
  <c r="G20" i="3"/>
  <c r="E20" i="3"/>
  <c r="F20" i="3" s="1"/>
  <c r="I20" i="3" s="1"/>
  <c r="G19" i="3"/>
  <c r="E19" i="3"/>
  <c r="F19" i="3" s="1"/>
  <c r="G18" i="3"/>
  <c r="E18" i="3"/>
  <c r="F18" i="3" s="1"/>
  <c r="I18" i="3" s="1"/>
  <c r="G17" i="3"/>
  <c r="E17" i="3"/>
  <c r="F17" i="3" s="1"/>
  <c r="G16" i="3"/>
  <c r="E16" i="3"/>
  <c r="F16" i="3" s="1"/>
  <c r="I16" i="3" s="1"/>
  <c r="G15" i="3"/>
  <c r="E15" i="3"/>
  <c r="F15" i="3" s="1"/>
  <c r="G14" i="3"/>
  <c r="E14" i="3"/>
  <c r="F14" i="3" s="1"/>
  <c r="I14" i="3" s="1"/>
  <c r="G13" i="3"/>
  <c r="E13" i="3"/>
  <c r="F13" i="3" s="1"/>
  <c r="G12" i="3"/>
  <c r="E12" i="3"/>
  <c r="F12" i="3" s="1"/>
  <c r="I12" i="3" s="1"/>
  <c r="G11" i="3"/>
  <c r="E11" i="3"/>
  <c r="F11" i="3" s="1"/>
  <c r="G10" i="3"/>
  <c r="E10" i="3"/>
  <c r="E22" i="3" s="1"/>
  <c r="B1" i="3"/>
  <c r="B1" i="2"/>
  <c r="D21" i="1"/>
  <c r="D20" i="1"/>
  <c r="D19" i="1"/>
  <c r="D18" i="1"/>
  <c r="D17" i="1"/>
  <c r="D16" i="1"/>
  <c r="D15" i="1"/>
  <c r="D14" i="1"/>
  <c r="E13" i="1"/>
  <c r="D13" i="1"/>
  <c r="D12" i="1"/>
  <c r="D11" i="1"/>
  <c r="D10" i="1"/>
  <c r="E9" i="1"/>
  <c r="D9" i="1"/>
  <c r="E14" i="1" l="1"/>
  <c r="D34" i="7"/>
  <c r="I15" i="3"/>
  <c r="I19" i="3"/>
  <c r="I13" i="3"/>
  <c r="I17" i="3"/>
  <c r="I21" i="3"/>
  <c r="C46" i="5"/>
  <c r="C30" i="3"/>
  <c r="G22" i="3"/>
  <c r="C32" i="3"/>
  <c r="C26" i="5"/>
  <c r="H27" i="14"/>
  <c r="C36" i="5"/>
  <c r="J27" i="14"/>
  <c r="C27" i="14"/>
  <c r="K27" i="14"/>
  <c r="C15" i="8"/>
  <c r="F10" i="3"/>
  <c r="C29" i="5" l="1"/>
  <c r="C32" i="5"/>
  <c r="C33" i="5" s="1"/>
  <c r="C13" i="14"/>
  <c r="C14" i="10"/>
  <c r="C38" i="5"/>
  <c r="C7" i="10"/>
  <c r="I6" i="11"/>
  <c r="C14" i="14"/>
  <c r="J8" i="9"/>
  <c r="J10" i="9" s="1"/>
  <c r="C20" i="8"/>
  <c r="C23" i="8"/>
  <c r="C28" i="3"/>
  <c r="C27" i="3"/>
  <c r="I10" i="3"/>
  <c r="C34" i="3" s="1"/>
  <c r="C5" i="4" s="1"/>
  <c r="C6" i="4" s="1"/>
  <c r="C29" i="3"/>
  <c r="E10" i="1" s="1"/>
  <c r="C26" i="3"/>
  <c r="C25" i="3"/>
  <c r="I11" i="3"/>
  <c r="C33" i="3" l="1"/>
  <c r="I18" i="11"/>
  <c r="K6" i="11"/>
  <c r="F28" i="10"/>
  <c r="G28" i="10" s="1"/>
  <c r="F26" i="10"/>
  <c r="G26" i="10" s="1"/>
  <c r="F24" i="10"/>
  <c r="G24" i="10" s="1"/>
  <c r="F20" i="10"/>
  <c r="F18" i="10"/>
  <c r="G18" i="10" s="1"/>
  <c r="F29" i="10"/>
  <c r="G29" i="10" s="1"/>
  <c r="F27" i="10"/>
  <c r="G27" i="10" s="1"/>
  <c r="F25" i="10"/>
  <c r="G25" i="10" s="1"/>
  <c r="F23" i="10"/>
  <c r="G23" i="10" s="1"/>
  <c r="F21" i="10"/>
  <c r="G21" i="10" s="1"/>
  <c r="F19" i="10"/>
  <c r="F17" i="10"/>
  <c r="L24" i="14"/>
  <c r="E24" i="14"/>
  <c r="K24" i="14"/>
  <c r="J24" i="14"/>
  <c r="D24" i="14"/>
  <c r="D29" i="14" s="1"/>
  <c r="H24" i="14"/>
  <c r="H29" i="14" s="1"/>
  <c r="C24" i="14"/>
  <c r="M24" i="14"/>
  <c r="M29" i="14" s="1"/>
  <c r="G24" i="14"/>
  <c r="F24" i="14"/>
  <c r="I24" i="14"/>
  <c r="I29" i="14" s="1"/>
  <c r="N24" i="14"/>
  <c r="N29" i="14" s="1"/>
  <c r="F25" i="14"/>
  <c r="K25" i="14"/>
  <c r="C25" i="14"/>
  <c r="H25" i="14"/>
  <c r="G25" i="14"/>
  <c r="I25" i="14"/>
  <c r="E25" i="14"/>
  <c r="D25" i="14"/>
  <c r="L25" i="14"/>
  <c r="J25" i="14"/>
  <c r="M25" i="14"/>
  <c r="C7" i="9"/>
  <c r="C8" i="9" s="1"/>
  <c r="C30" i="5"/>
  <c r="C50" i="5"/>
  <c r="C35" i="5"/>
  <c r="C51" i="5" s="1"/>
  <c r="C31" i="5"/>
  <c r="C14" i="8"/>
  <c r="G30" i="9" l="1"/>
  <c r="C26" i="9" s="1"/>
  <c r="C11" i="9"/>
  <c r="C9" i="9"/>
  <c r="C29" i="14"/>
  <c r="J29" i="14"/>
  <c r="K29" i="14"/>
  <c r="K34" i="14" s="1"/>
  <c r="K18" i="11"/>
  <c r="L6" i="11"/>
  <c r="F29" i="14"/>
  <c r="E29" i="14"/>
  <c r="C21" i="8"/>
  <c r="C22" i="8" s="1"/>
  <c r="E12" i="1"/>
  <c r="G29" i="14"/>
  <c r="L29" i="14"/>
  <c r="B30" i="8" l="1"/>
  <c r="C24" i="8"/>
  <c r="B31" i="8"/>
  <c r="C34" i="14"/>
  <c r="C30" i="14"/>
  <c r="E18" i="1"/>
  <c r="L18" i="11"/>
  <c r="C12" i="9"/>
  <c r="E16" i="1"/>
  <c r="G34" i="14"/>
  <c r="D30" i="14" l="1"/>
  <c r="E30" i="14" s="1"/>
  <c r="F30" i="14" s="1"/>
  <c r="G30" i="14" s="1"/>
  <c r="H30" i="14" s="1"/>
  <c r="I30" i="14" s="1"/>
  <c r="J30" i="14" s="1"/>
  <c r="K30" i="14" s="1"/>
  <c r="L30" i="14" s="1"/>
  <c r="M30" i="14" s="1"/>
  <c r="N30" i="14" s="1"/>
  <c r="E15" i="1"/>
  <c r="C25" i="8"/>
  <c r="C26" i="8" s="1"/>
  <c r="C6" i="10"/>
  <c r="C8" i="10" s="1"/>
  <c r="C12" i="10" l="1"/>
  <c r="E19" i="10"/>
  <c r="G19" i="10" s="1"/>
  <c r="E17" i="10"/>
  <c r="G17" i="10" s="1"/>
  <c r="H17" i="10" s="1"/>
  <c r="C27" i="8"/>
  <c r="C28" i="8" s="1"/>
  <c r="C32" i="14"/>
  <c r="B33" i="14" l="1"/>
  <c r="E21" i="1"/>
  <c r="H18" i="10"/>
  <c r="H19" i="10" s="1"/>
  <c r="E20" i="10"/>
  <c r="G20" i="10" s="1"/>
  <c r="F22" i="10"/>
  <c r="G22" i="10" s="1"/>
  <c r="H20" i="10" l="1"/>
  <c r="H21" i="10" s="1"/>
  <c r="H22" i="10" s="1"/>
  <c r="H23" i="10" s="1"/>
  <c r="H24" i="10" s="1"/>
  <c r="H25" i="10" s="1"/>
  <c r="H26" i="10" s="1"/>
  <c r="H27" i="10" s="1"/>
  <c r="H28" i="10" s="1"/>
  <c r="H29" i="10" s="1"/>
  <c r="C32" i="10"/>
  <c r="B33" i="10" l="1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C2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How many times bigger the best month is vs the worst. &lt;1.5 flat · 1.5-2.5 moderate · 2.5-4 strong · &gt;4 single-season (capital trap for a first product).</t>
        </r>
      </text>
    </comment>
    <comment ref="C3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First calendar month where the index crosses 1.00 upward. Dec-Jan wrap handled via flags in column I. If demand is bimodal, check all flags.</t>
        </r>
      </text>
    </comment>
    <comment ref="C3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Two years of data can be distorted by one-off spikes (COVID-type booms, a viral video). Whatever this verdict says, confirm the direction on the 5-year Google Trends curve before deciding.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C18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Georgian small-business status taxes turnover at 1%. Base assumed = ex-VAT sales; confirm with your accountant.</t>
        </r>
      </text>
    </comment>
    <comment ref="C3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Above this ACOS you lose money on every ad-driven unit. The Amazon ads console reports sales INCLUDING VAT, so this divides margin by the gross price — most templates get this wrong by 19%.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C4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A review count is a WALL, not just a score: buyers sort and filter by it, and your conversion rate sits below competitors' until you approach their league. This converts the wall into time — time you must finance (Sheet 8).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C2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Why order above average when margin is high: a missed sale costs you the full margin; a leftover unit only costs landed minus recovery. When Cu &gt; Co, under-ordering is the bigger mistake.</t>
        </r>
      </text>
    </comment>
    <comment ref="C38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Position share of clicks: positions 1–3 take ~40–60%, 4–8 take ~15–25%, bottom of page 1 under 5%. A launch that reaches mid-page realistically captures 4–15% of keyword sales — that's the default range here. Adjust only with evidence (weak competition, strong differentiation).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J6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Helium 10's estimate of units sold via this keyword in 8 days to reach page 1. It is a heuristic, not physics — treat the total below as an order of magnitude.</t>
        </r>
      </text>
    </comment>
    <comment ref="C8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ACOS = ad spend ÷ ad-attributed sales (console measures sales incl. VAT). At this ACOS an ad-driven unit earns exactly zero. Spend above it only deliberately, during launch.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C12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Einfuhrumsatzsteuer: paid at customs, recovered via your German monthly VAT return ~2 months later. It is a LOAN to the state, not a cost — but the cash must exist.</t>
        </r>
      </text>
    </comment>
    <comment ref="C37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Days one euro is locked up: full supply lead time (Sheet 2 total) + ~45 days average sell-through of the batch + ~14-day Amazon payout lag. Shorten any leg and every euro works more often.</t>
        </r>
      </text>
    </comment>
    <comment ref="C38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How many times a year each euro completes the loop cash → goods → sale → payout. At ~1.9 turns, a 40% per-cycle margin is ~76% a year on working capital — and why cutting lead time can beat raising price. Feeds the intuition behind Sheet 12.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M5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TACOS = ad spend ÷ TOTAL gross sales. Falling TACOS while sales grow = organic rank is compounding. Rising TACOS = you are buying every sale.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C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Each flag = a lost/damaged/disposed event with no reimbursement row for the same FNSKU. Open a case: Help → FBA → Something else → Inventory reimbursement.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C20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≥40% on a CORE feature = a product gap worth building against (Sheet 4 row). A dominant theme about shipping/packaging is Amazon's problem, not a product gap.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C8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A product sells this share of its mature rate in its launch quarter, halfway between this and 100% in its second quarter, and 100% from its third. 40% is a decent launch; slow niches run 25%.</t>
        </r>
      </text>
    </comment>
    <comment ref="C15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Everything spent before the first sale: first order (Sheet 6 × landed), GPSR responsible person, LUCID/PPWR, photos, Vine units, launch-phase extra ads (Sheet 7 launch budget + CPR push). It leaves the quarter BEFORE the launch quarter (goods lead time ≈ one quarter); for a quarter-1 launch it leaves in quarter 1.</t>
        </r>
      </text>
    </comment>
  </commentList>
</comments>
</file>

<file path=xl/sharedStrings.xml><?xml version="1.0" encoding="utf-8"?>
<sst xmlns="http://schemas.openxmlformats.org/spreadsheetml/2006/main" count="589" uniqueCount="519">
  <si>
    <t>Amazon.de Seller Workbook — v4</t>
  </si>
  <si>
    <t>Choose the product, plan the order, track the money — one file. Follow the order below for a new product; every sheet links back here.</t>
  </si>
  <si>
    <t>Legend: BLUE on YELLOW = you type here · BLACK = formula, do not overwrite · GREEN = pulled from another sheet automatically.</t>
  </si>
  <si>
    <t>Cells with a small red corner marker have an (i) note — hover to read what the number means and what to do with it.</t>
  </si>
  <si>
    <t>Sheet</t>
  </si>
  <si>
    <t>What it answers</t>
  </si>
  <si>
    <t>Open</t>
  </si>
  <si>
    <t>Where you stand (live)</t>
  </si>
  <si>
    <t>Guide</t>
  </si>
  <si>
    <t>How to use the file + where every report lives</t>
  </si>
  <si>
    <t>1 Seasonality</t>
  </si>
  <si>
    <t>Is demand seasonal? When does it ramp?</t>
  </si>
  <si>
    <t>2 Order timing</t>
  </si>
  <si>
    <t>By when must the order be placed?</t>
  </si>
  <si>
    <t>3 Unit economics</t>
  </si>
  <si>
    <t>Do I earn enough per unit before ads?</t>
  </si>
  <si>
    <t>4 Selection</t>
  </si>
  <si>
    <t>Does the product pass every gate?</t>
  </si>
  <si>
    <t>5 Niche scorecard</t>
  </si>
  <si>
    <t>Which candidate deserves my research time?</t>
  </si>
  <si>
    <t>6 Order size</t>
  </si>
  <si>
    <t>How many units in the first order?</t>
  </si>
  <si>
    <t>7 PPC planner</t>
  </si>
  <si>
    <t>What can I pay for ads? Where is waste?</t>
  </si>
  <si>
    <t>8 Cash flow</t>
  </si>
  <si>
    <t>Do I stay above zero the whole year?</t>
  </si>
  <si>
    <t>9 Monthly P&amp;L</t>
  </si>
  <si>
    <t>Am I actually making money each month?</t>
  </si>
  <si>
    <t>10 Money recovery</t>
  </si>
  <si>
    <t>Does Amazon owe me money?</t>
  </si>
  <si>
    <t>11 Review themes</t>
  </si>
  <si>
    <t>Which complaint do I attack? Is the wall fake?</t>
  </si>
  <si>
    <t>12 Multi-year plan</t>
  </si>
  <si>
    <t>Do 3 years of staggered launches stay funded?</t>
  </si>
  <si>
    <t>New product path:  1 → 2 → 3 → 4  (run 5 to compare several niches)  → 6 → 7 → 8, then order.</t>
  </si>
  <si>
    <t>Already selling:  9 → 10 → 11 once a month, 7 every two weeks. Planning the business, not one product: 12.</t>
  </si>
  <si>
    <t>v4 · 2026-08-25 · Built for a non-EU (deemed supplier) seller on Amazon.de. Educational tool, not tax or legal advice.</t>
  </si>
  <si>
    <t>Guide: how to use this workbook</t>
  </si>
  <si>
    <t>The rules</t>
  </si>
  <si>
    <t>Blue text on yellow fill = you type here. Black = formula, never overwrite. Green = pulled from another sheet. Hover cells with a red corner marker for (i) explanations. Work sheets 1→8 in order for a new product; sheets 9–11 are your monthly routine after launch.</t>
  </si>
  <si>
    <t>Measure seasonality BEFORE profit math — it is faster and kills more candidates. Never measure seasonality on a listing younger than 18 months: a young listing's chart is launch curve + season, inseparable. Measure the CATEGORY on data that existed before the listing did.</t>
  </si>
  <si>
    <t>Where the research data comes from (sheets 1–5)</t>
  </si>
  <si>
    <t>Search history: Helium 10 Cerebro/Magnet → chart icon next to search volume → export. Amazon's own data: Product Opportunity Explorer in Seller Central (free). Old competitors' sales: Helium 10 Trendster, 3–5 ASINs older than 2 years. Same-month-last-year: Xray columns 'Last Year Sales' / 'Sales YoY'. Shape check: Google Trends, region Germany, 5-year window (relative values only — shape, never volume).</t>
  </si>
  <si>
    <t>BSR is a rank, weighted to recent sales: if a whole category halves in December, ranks barely move, so BSR UNDERSTATES seasonal amplitude. Use units or search volume for amplitude; BSR only to compare products at one moment.</t>
  </si>
  <si>
    <t>Where the operating reports live (sheets 7, 9, 10)</t>
  </si>
  <si>
    <t>Search Term Report (Sheet 7): Advertising console → Sponsored Products → Reports → Search term. Choose 30–60 days.</t>
  </si>
  <si>
    <t>Date Range / transaction totals (Sheet 9): Seller Central → Payments → Reports repository → Date Range Report (Summary).</t>
  </si>
  <si>
    <t>Inventory Adjustments (Sheet 10): Reports → Fulfilment by Amazon → Inventory → Inventory Adjustments. Filter reasons: Lost, Damaged, Disposed.</t>
  </si>
  <si>
    <t>Reimbursements (Sheet 10): Reports → Fulfilment by Amazon → Payments → Reimbursements.</t>
  </si>
  <si>
    <t>Reviews (Sheet 11): Helium 10 → Review Insights → export 1–3★ reviews of the top 5–10 ASINs, last 12 months. Cluster into themes with an AI assistant ('cluster these reviews into complaint themes with counts'), then enter the themes.</t>
  </si>
  <si>
    <t>Method sources</t>
  </si>
  <si>
    <t>Seasonal decomposition: Hyndman &amp; Athanasopoulos, Forecasting: Principles and Practice (free: https://otexts.com/fpp3/). Order sizing: the newsvendor model (operations research standard). Review mining: Archak, Ghose &amp; Ipeirotis, Management Science 2011. Fake-review signals: He, Hollenbeck &amp; Proserpio, Marketing Science 2022.</t>
  </si>
  <si>
    <t>What changed in v4</t>
  </si>
  <si>
    <t>Added: Sheet 12 multi-year plan — 12 quarters, up to 3 staggered product launches with ramp-up, lowest-cash check (the integrated-model skeleton from the Freedom Ticket financial module, rebuilt on this file's German deemed-supplier unit economics) · review-wall-in-months gauge + textile/plant-material compliance reminder (Sheet 4) · P10/P90 demand helper from Cerebro keyword sales and position share (Sheet 6) · CPR launch-push cost estimator (Sheet 7) · cash cycle &amp; cash turns per year (Sheet 8).</t>
  </si>
  <si>
    <t>What changed in v3</t>
  </si>
  <si>
    <t>Added: Start dashboard with live status per sheet · Sheet 6 first-order size (newsvendor) · Sheet 7 PPC planner with breakeven/target ACOS, TACOS, ROAS and a search-term waste finder · Sheet 8 twelve-month cash-flow plan incl. import-VAT refund timing · Sheet 9 monthly P&amp;L with TACOS tracking · Sheet 10 money-recovery audit (lost inventory matcher + FBA fee sanity check) · Sheet 11 review-theme analysis + fake-review checklist · (i) comments and back-links everywhere.</t>
  </si>
  <si>
    <t>Carried over from v2 (fixes to the original file): duty on CIF base · breakeven ACOS vs VAT-inclusive price · max EXW supplier ceiling · Georgian 1% turnover tax · Dec→Jan ramp wrap · incomplete-data guard on the seasonality verdict · IP + PPWR rows in the selection gates.</t>
  </si>
  <si>
    <t>This file is an educational tool, not tax, legal or investment advice. Amazon fees change every December/January — cross-check your category's rates in Seller Central before big decisions.</t>
  </si>
  <si>
    <t>Seasonality index from monthly demand</t>
  </si>
  <si>
    <t>Enter 24 months of search volume for the niche keyword. The sheet computes the shape of the year and a verdict.</t>
  </si>
  <si>
    <t>Keyword / niche</t>
  </si>
  <si>
    <t>fahrradhelm</t>
  </si>
  <si>
    <t>Example shown. Replace with your own export.</t>
  </si>
  <si>
    <t>Marketplace</t>
  </si>
  <si>
    <t>Amazon.de</t>
  </si>
  <si>
    <t>Data source</t>
  </si>
  <si>
    <t>H10 Cerebro Search Volume History</t>
  </si>
  <si>
    <t>Export date</t>
  </si>
  <si>
    <t>Month</t>
  </si>
  <si>
    <t>Volume yr 1</t>
  </si>
  <si>
    <t>Volume yr 2</t>
  </si>
  <si>
    <t>Avg volume</t>
  </si>
  <si>
    <t>Index</t>
  </si>
  <si>
    <t>YoY %</t>
  </si>
  <si>
    <t>Notes</t>
  </si>
  <si>
    <t>Flag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</si>
  <si>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</si>
  <si>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</si>
  <si>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</si>
  <si>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</si>
  <si>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</si>
  <si>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</si>
  <si>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</si>
  <si>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</si>
  <si>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</si>
  <si>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</si>
  <si>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</si>
  <si>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</si>
  <si>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</si>
  <si>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Results</t>
  </si>
  <si>
    <t>Peak month</t>
  </si>
  <si>
    <t>Lowest month</t>
  </si>
  <si>
    <t>Peak index</t>
  </si>
  <si>
    <t>Lowest index</t>
  </si>
  <si>
    <t>Amplitude (peak / lowest non-zero)</t>
  </si>
  <si>
    <t>Top-4 months' share of the year</t>
  </si>
  <si>
    <t>Category growth year over year</t>
  </si>
  <si>
    <t>Months with data (needs 12)</t>
  </si>
  <si>
    <t>Verdict</t>
  </si>
  <si>
    <t>Ramp month (index crosses 1.00 upward)</t>
  </si>
  <si>
    <t>Demand direction (from YoY)</t>
  </si>
  <si>
    <t>Amplitude = shape of the year; YoY = does the category grow. They answer different questions.</t>
  </si>
  <si>
    <t>Top-4 share above 60% = a four-month business carrying twelve months of costs.</t>
  </si>
  <si>
    <t>YoY verdict bands: &gt;+5% growing · -5..+5 flat · -5..-15 cooling (verify on Trends) · below -15% declining.</t>
  </si>
  <si>
    <t>Back-calculating the order date from the ramp month</t>
  </si>
  <si>
    <t>Target on-stock date = 4 weeks before the ramp month from Sheet 1.</t>
  </si>
  <si>
    <t>Ramp month (from Sheet 1)</t>
  </si>
  <si>
    <t>Suggested on-stock date (1st of ramp month − 28 days)</t>
  </si>
  <si>
    <t>Target on-stock date (your choice)</t>
  </si>
  <si>
    <t>Defaults to the suggested date. Land earlier if peak-season check-in delays are likely.</t>
  </si>
  <si>
    <t>Supply-cycle stage</t>
  </si>
  <si>
    <t>Days</t>
  </si>
  <si>
    <t>Certification / test protocols (0 if unregulated)</t>
  </si>
  <si>
    <t>PPE, electrical, toys: add 60–120 days.</t>
  </si>
  <si>
    <t>Supplier selection and samples</t>
  </si>
  <si>
    <t>Two sample rounds is normal.</t>
  </si>
  <si>
    <t>Production</t>
  </si>
  <si>
    <t>30–45 days for a 300–1,000-unit batch.</t>
  </si>
  <si>
    <t>Factory holiday buffer (CNY, Golden Week)</t>
  </si>
  <si>
    <t>Chinese New Year (late Jan–Feb): add 20–30 days. Golden Week (early Oct): add ~7.</t>
  </si>
  <si>
    <t>Sea freight to Germany</t>
  </si>
  <si>
    <t>35–45 days port-to-port plus the inland leg.</t>
  </si>
  <si>
    <t>Customs clearance</t>
  </si>
  <si>
    <t>3–7 days. Non-EU importer: you need an EORI and normally an indirect customs representative (usually the forwarder). Agree incoterms before production starts.</t>
  </si>
  <si>
    <t>FBA inbound and check-in</t>
  </si>
  <si>
    <t>7–14 days, longer in Q4.</t>
  </si>
  <si>
    <t>Safety buffer</t>
  </si>
  <si>
    <t>Never set this to zero.</t>
  </si>
  <si>
    <t>Total lead time (days)</t>
  </si>
  <si>
    <t>Order must be placed by</t>
  </si>
  <si>
    <t>Days from today</t>
  </si>
  <si>
    <t>Negative = the season is already lost. Plan next year or change the product.</t>
  </si>
  <si>
    <t>Contribution margin per unit, Amazon.de</t>
  </si>
  <si>
    <t>Non-EU seller: Amazon acts as deemed supplier, so the 19% German VAT never reaches you. Net revenue = gross / 1.19.</t>
  </si>
  <si>
    <t>Inputs</t>
  </si>
  <si>
    <t>Sale price, gross incl. VAT (EUR)</t>
  </si>
  <si>
    <t>What the buyer pays.</t>
  </si>
  <si>
    <t>VAT rate</t>
  </si>
  <si>
    <t>German standard rate.</t>
  </si>
  <si>
    <t>Referral fee rate</t>
  </si>
  <si>
    <t>Check your category — Dec 2025/Jan 2026 updates cut several sub-€20 categories.</t>
  </si>
  <si>
    <t>Referral charged on gross price? 1=yes 0=no</t>
  </si>
  <si>
    <t>Amazon EU charges referral fees on the VAT-inclusive total sales price — leave at 1.</t>
  </si>
  <si>
    <t>FBA fulfilment fee (EUR)</t>
  </si>
  <si>
    <t>From the listing or the Revenue Calculator.</t>
  </si>
  <si>
    <t>Storage per unit sold (EUR)</t>
  </si>
  <si>
    <t>Litres × monthly rate × months of cover. Oct–Dec rates are ~2–3× higher.</t>
  </si>
  <si>
    <t>Returns rate</t>
  </si>
  <si>
    <t>Size/fit products run 8–12%.</t>
  </si>
  <si>
    <t>Return cost, share of net price</t>
  </si>
  <si>
    <t>Lost fees + processing + unsellable stock.</t>
  </si>
  <si>
    <t>EXW unit cost (EUR)</t>
  </si>
  <si>
    <t>Supplier price.</t>
  </si>
  <si>
    <t>Freight per unit (EUR)</t>
  </si>
  <si>
    <t>Rate per m³ × unit volume.</t>
  </si>
  <si>
    <t>Import duty rate (on CIF value)</t>
  </si>
  <si>
    <t>Check the TARIC code. Duty base = goods + freight, not EXW alone.</t>
  </si>
  <si>
    <t>Prep, labels, inspection per unit (EUR)</t>
  </si>
  <si>
    <t>Incl. GPSR &amp; EPR marking.</t>
  </si>
  <si>
    <t>Turnover tax rate (home country)</t>
  </si>
  <si>
    <t>Georgian small-business IE: 1% of turnover. Confirm the base with your accountant.</t>
  </si>
  <si>
    <t>Calculation</t>
  </si>
  <si>
    <t>Net revenue (ex VAT)</t>
  </si>
  <si>
    <t>Referral fee</t>
  </si>
  <si>
    <t>FBA fulfilment fee</t>
  </si>
  <si>
    <t>Storage</t>
  </si>
  <si>
    <t>Cost of returns</t>
  </si>
  <si>
    <t>Net after Amazon (payout per unit)</t>
  </si>
  <si>
    <t>What Amazon disburses per unit sold, before your own costs.</t>
  </si>
  <si>
    <t>Landed cost per unit</t>
  </si>
  <si>
    <t>Duty on CIF base: (EXW + freight) × duty rate.</t>
  </si>
  <si>
    <t>Turnover tax (on net revenue)</t>
  </si>
  <si>
    <t>Contribution margin per unit</t>
  </si>
  <si>
    <t>Margin on net revenue</t>
  </si>
  <si>
    <t>Target: 35%+ before advertising.</t>
  </si>
  <si>
    <t>Breakeven ACOS (ad console basis)</t>
  </si>
  <si>
    <t>The console measures sales incl. VAT → divide by the GROSS price.</t>
  </si>
  <si>
    <t>Max landed cost at 35% margin</t>
  </si>
  <si>
    <t>Max EXW price to quote supplier</t>
  </si>
  <si>
    <t>Hand THIS number to the supplier as your ceiling.</t>
  </si>
  <si>
    <t>Profit tax reserve (info — taxes yearly PROFIT, not the unit; not a gate)</t>
  </si>
  <si>
    <t>Year-end tax on profit (German income tax + trade tax if the business is German-managed; Georgian 1%-regime if the Georgian model holds - ask a Steuerberater). Reserve this share of every euro of contribution; it is not a per-unit cost and does not move the 35/30 bands.</t>
  </si>
  <si>
    <t>Contribution after tax reserve</t>
  </si>
  <si>
    <t>Price needed for 35% margin (green)</t>
  </si>
  <si>
    <t>The inverse of the margin question: at the costs typed above, this gross price reaches 35%. If the market price on page 1 is below this number, the costs are wrong for the niche - not the price.</t>
  </si>
  <si>
    <t>Price needed for 30% margin (yellow)</t>
  </si>
  <si>
    <t>Max EXW at 30% (yellow ceiling)</t>
  </si>
  <si>
    <t>Import VAT (19%) is paid at customs on customs value + duty and is recoverable via your German VAT registration — a cash-flow item (see Sheet 8), not a unit cost.</t>
  </si>
  <si>
    <t>Cross-check the FBA fee against real dimensions: €4.55 is not a 12 cm box. H10 exports sometimes mislabel inches as cm.</t>
  </si>
  <si>
    <t>Order totals — quick math (the real order plan lives in Sheets 6 + 8)</t>
  </si>
  <si>
    <t>Sets in this order</t>
  </si>
  <si>
    <t>Goods (EXW × sets)</t>
  </si>
  <si>
    <t xml:space="preserve">   deposit 30% at order</t>
  </si>
  <si>
    <t xml:space="preserve">   balance 70% after passed inspection</t>
  </si>
  <si>
    <t>Landed total (cash into stock)</t>
  </si>
  <si>
    <t>Import VAT at customs (out, then back)</t>
  </si>
  <si>
    <t>Paid at Hamburg, recovered through the German VAT return roughly two months later - the cash hole Gate 5 draws.</t>
  </si>
  <si>
    <t>Contribution if ALL sets sell</t>
  </si>
  <si>
    <t xml:space="preserve">   after profit-tax reserve</t>
  </si>
  <si>
    <t>Selection checklist. Any NO in block A is an automatic reject.</t>
  </si>
  <si>
    <t>A. Compliance &amp; IP exclusions — YES only if this does NOT apply.</t>
  </si>
  <si>
    <t>Passed?</t>
  </si>
  <si>
    <t>Not worn for body protection (EU PPE Regulation 2016/425)</t>
  </si>
  <si>
    <t>YES</t>
  </si>
  <si>
    <t>Helmets, harnesses, goggles, gloves, hi-vis. Cat II needs a notified body.</t>
  </si>
  <si>
    <t>No battery, plug, motor or LED</t>
  </si>
  <si>
    <t>Triggers LVD, EMC, RoHS, WEEE, BattG.</t>
  </si>
  <si>
    <t>Not intended for children under 14</t>
  </si>
  <si>
    <t>Toy Safety Directive 2009/48/EC.</t>
  </si>
  <si>
    <t>No contact with food, drink or skin</t>
  </si>
  <si>
    <t>LFGB, cosmetics regulation, migration tests.</t>
  </si>
  <si>
    <t>No medical, health or veterinary claims</t>
  </si>
  <si>
    <t>MDR, health-claims rules.</t>
  </si>
  <si>
    <t>Nothing load-bearing, nothing that arrests a fall</t>
  </si>
  <si>
    <t>The PPE trap under another name.</t>
  </si>
  <si>
    <t>No blocking IP: designs, patents, trademarks checked</t>
  </si>
  <si>
    <t>EUIPO eSearch, DPMA register, Google Patents. Design infringement is the #1 private-label account killer in DE.</t>
  </si>
  <si>
    <t>EU Responsible Person appointed (GPSR)</t>
  </si>
  <si>
    <t>Mandatory for a non-EU seller on any consumer product.</t>
  </si>
  <si>
    <t>Packaging EPR done: LUCID + PPWR authorised representative</t>
  </si>
  <si>
    <t>LUCID mandatory since 2022; PPWR AR duty applies since 12 Aug 2026.</t>
  </si>
  <si>
    <t>B. Demand and competition</t>
  </si>
  <si>
    <t>Page-1 revenue of €40,000+/month</t>
  </si>
  <si>
    <t>Xray: sum of top-10 organic results.</t>
  </si>
  <si>
    <t>Top ASIN holds under 40% of page revenue</t>
  </si>
  <si>
    <t>Higher = one brand plus noise.</t>
  </si>
  <si>
    <t>At least 2 page-1 listings launched in last 12 months</t>
  </si>
  <si>
    <t>Proves entry still works.</t>
  </si>
  <si>
    <t>Zero to two page-1 ASINs above 500 reviews</t>
  </si>
  <si>
    <t>Count REAL reviews — run Sheet 11's fake check first.</t>
  </si>
  <si>
    <t>No Amazon Basics / Amazon Retail on page 1</t>
  </si>
  <si>
    <t>China + Hong Kong sellers under 60% of page 1</t>
  </si>
  <si>
    <t>A dominant negative-review theme of at least 40%</t>
  </si>
  <si>
    <t>From Sheet 11.</t>
  </si>
  <si>
    <t>Weakest page-1 ASINs rated 4.3 or below</t>
  </si>
  <si>
    <t>A 4.7 field gives no point of attack.</t>
  </si>
  <si>
    <t>C. Seasonality and cash</t>
  </si>
  <si>
    <t>Amplitude below 2.5x, OR the order lands before the ramp</t>
  </si>
  <si>
    <t>Sheets 1 + 2.</t>
  </si>
  <si>
    <t>Top-4 months hold under 60% of the year</t>
  </si>
  <si>
    <t>The order-by date is still in the future</t>
  </si>
  <si>
    <t>Sheet 2.</t>
  </si>
  <si>
    <t>Contribution margin 35%+ before advertising</t>
  </si>
  <si>
    <t>Sheet 3.</t>
  </si>
  <si>
    <t>Order + compliance + launch ads fit budget incl. reorder reserve</t>
  </si>
  <si>
    <t>Sheets 6 + 7 + 8.</t>
  </si>
  <si>
    <t>Block A result</t>
  </si>
  <si>
    <t>Block B score</t>
  </si>
  <si>
    <t>Block C score</t>
  </si>
  <si>
    <t>Go ahead only if A = CLEAN, B ≥ 7/8, C = 5/5.</t>
  </si>
  <si>
    <t>Review wall — how long until you catch up? (v4)</t>
  </si>
  <si>
    <t>Median review count of page-1 top ASINs</t>
  </si>
  <si>
    <t>Xray: sort page 1 by rank, take the median review count of the top 10 — not the average (one 5,000-review giant distorts it).</t>
  </si>
  <si>
    <t>Your expected units sold per month</t>
  </si>
  <si>
    <t>Review rate (reviews per unit sold)</t>
  </si>
  <si>
    <t>Organic review rate on Amazon.de runs 1–2% of units; Vine (30 units) adds a one-off ~25 at the start.</t>
  </si>
  <si>
    <t>Reviews you gain per month</t>
  </si>
  <si>
    <t>Months to reach the page-1 median</t>
  </si>
  <si>
    <t>Textiles &amp; plant materials (v4): anything textile sold in DE needs fibre-composition labelling per EU Textile Regulation 1007/2011 (TextilKennzVO enforcement) — 'Polyester' is a defined term, marketing names are illegal on the label. Buckwheat / spelt / other plant fillings (e.g. japanisches kissen) additionally risk phytosanitary import rules + food-contact-adjacent scrutiny: confirm the filling's import status BEFORE sampling. Add both to Block A row 8/13 thinking.</t>
  </si>
  <si>
    <t>Niche comparison scorecard — up to 8 candidates</t>
  </si>
  <si>
    <t>Fill the yellow inputs from Xray/Cerebro and from Sheets 1–3 run per niche. Any hard gate failure disqualifies regardless of score.</t>
  </si>
  <si>
    <t>Budget incl. reorder reserve (EUR)</t>
  </si>
  <si>
    <t>Source</t>
  </si>
  <si>
    <t>Niche 1</t>
  </si>
  <si>
    <t>Niche 2</t>
  </si>
  <si>
    <t>Niche 3</t>
  </si>
  <si>
    <t>Niche 4</t>
  </si>
  <si>
    <t>Niche 5</t>
  </si>
  <si>
    <t>Niche 6</t>
  </si>
  <si>
    <t>Niche 7</t>
  </si>
  <si>
    <t>Niche 8</t>
  </si>
  <si>
    <t>Niche / keyword</t>
  </si>
  <si>
    <t>—</t>
  </si>
  <si>
    <t>Avg monthly search volume (context, not scored)</t>
  </si>
  <si>
    <t>Cerebro</t>
  </si>
  <si>
    <t>Page-1 revenue, €/month</t>
  </si>
  <si>
    <t>Xray</t>
  </si>
  <si>
    <t>Top ASIN share of page-1 revenue</t>
  </si>
  <si>
    <t>Page-1 ASINs with &gt;500 REAL reviews (count)</t>
  </si>
  <si>
    <t>Xray + Sheet 11</t>
  </si>
  <si>
    <t>Page-1 listings launched in last 12 months</t>
  </si>
  <si>
    <t>Weak competitor rated ≤4.3 exists? (1/0)</t>
  </si>
  <si>
    <t>China + HK share of page 1</t>
  </si>
  <si>
    <t>Seasonality amplitude</t>
  </si>
  <si>
    <t>Sheet 1</t>
  </si>
  <si>
    <t>Top-4 months' share of year</t>
  </si>
  <si>
    <t>Contribution margin, % of net</t>
  </si>
  <si>
    <t>Sheet 3</t>
  </si>
  <si>
    <t>First order + compliance cash need, €</t>
  </si>
  <si>
    <t>Sheets 6+8</t>
  </si>
  <si>
    <t>Compliance block A passed? (YES/NO)</t>
  </si>
  <si>
    <t>Sheet 4</t>
  </si>
  <si>
    <t>NO</t>
  </si>
  <si>
    <t>Scores (auto, 0–2 each)</t>
  </si>
  <si>
    <t>Weight</t>
  </si>
  <si>
    <t>Demand: page-1 revenue</t>
  </si>
  <si>
    <t>Fragmentation: top-ASIN share</t>
  </si>
  <si>
    <t>Review moat</t>
  </si>
  <si>
    <t>Fresh entrants</t>
  </si>
  <si>
    <t>Weak competitor to attack</t>
  </si>
  <si>
    <t>CN/HK saturation</t>
  </si>
  <si>
    <t>Top-4 concentration</t>
  </si>
  <si>
    <t>Margin</t>
  </si>
  <si>
    <t>Cash fit vs budget</t>
  </si>
  <si>
    <t>Weighted score (0–100)</t>
  </si>
  <si>
    <t>Hard gates</t>
  </si>
  <si>
    <t>≥70 investigate · 50–69 park · &lt;50 drop · any DISQUALIFIED = drop regardless of score.</t>
  </si>
  <si>
    <t>The score ranks research time. The final go/no-go is Sheets 1–4, never this score. Example column: a decent score killed by a hard gate — helmets are PPE Cat II.</t>
  </si>
  <si>
    <t>First order size — newsvendor model</t>
  </si>
  <si>
    <t>Balances the margin you lose on a missed sale against the cost of a leftover unit. Give it a pessimistic and an optimistic season estimate; it returns the profit-maximizing quantity.</t>
  </si>
  <si>
    <t>Pessimistic season sales, units (P10)</t>
  </si>
  <si>
    <t>Only ~10% chance sales come in below this. From Xray page-1 revenue × the share you think you can take.</t>
  </si>
  <si>
    <t>Optimistic season sales, units (P90)</t>
  </si>
  <si>
    <t>Only ~10% chance above this.</t>
  </si>
  <si>
    <t>Value recovered per leftover unit (EUR)</t>
  </si>
  <si>
    <t>Clearance, Outlet, or removal — net of fees.</t>
  </si>
  <si>
    <t>Extra storage/removal per leftover unit (EUR)</t>
  </si>
  <si>
    <t>Incl. aged-inventory surcharge risk.</t>
  </si>
  <si>
    <t>MOQ (units)</t>
  </si>
  <si>
    <t>Supplier minimum.</t>
  </si>
  <si>
    <t>Budget for this PO (EUR)</t>
  </si>
  <si>
    <t>Cash available for goods (not ads).</t>
  </si>
  <si>
    <t>From other sheets</t>
  </si>
  <si>
    <t>Contribution margin per unit (Cu)</t>
  </si>
  <si>
    <t>Expected season demand (mu)</t>
  </si>
  <si>
    <t>Demand uncertainty (sigma)</t>
  </si>
  <si>
    <t>Converts your P10–P90 range into a standard deviation.</t>
  </si>
  <si>
    <t>Cost of one leftover unit (Co)</t>
  </si>
  <si>
    <t>Landed + extra storage − recovery.</t>
  </si>
  <si>
    <t>Critical ratio Cu/(Cu+Co)</t>
  </si>
  <si>
    <t>The service level to buy. Above 50% = order MORE than average demand.</t>
  </si>
  <si>
    <t>Optimal quantity (unconstrained)</t>
  </si>
  <si>
    <t>Max affordable units (budget / landed)</t>
  </si>
  <si>
    <t>RECOMMENDED ORDER</t>
  </si>
  <si>
    <t>Optimum clamped to MOQ and budget.</t>
  </si>
  <si>
    <t>z at recommended quantity</t>
  </si>
  <si>
    <t>Expected lost sales (units)</t>
  </si>
  <si>
    <t>Expected leftover (units)</t>
  </si>
  <si>
    <t>Expected season contribution (EUR)</t>
  </si>
  <si>
    <t>For a year-round product this sizes the seasonal chunk; you can reorder, so lean toward the lower end and reorder fast.</t>
  </si>
  <si>
    <t>P10/P90 helper — from Cerebro keyword sales (v4)</t>
  </si>
  <si>
    <t>Keyword sales per WEEK (Cerebro, niche keywords summed)</t>
  </si>
  <si>
    <t>Cerebro column 'Keyword Sales' = purchases attributed to the keyword(s), counted PER WEEK (hover the column header in Cerebro - it says weekly). Rows 40/41 convert to months with x52/12. Earlier versions of this sheet read this figure as monthly, which made every suggested order about 4.3x too small. Sum the parent + main children, don't double-count overlapping terms.</t>
  </si>
  <si>
    <t>Months you are buying stock for</t>
  </si>
  <si>
    <t>Pessimistic share you capture</t>
  </si>
  <si>
    <t>Optimistic share you capture</t>
  </si>
  <si>
    <t>Suggested P10 (→ copy into C6)</t>
  </si>
  <si>
    <t>Suggested P90 (→ copy into C7)</t>
  </si>
  <si>
    <t>These are suggestions, not inputs the model reads automatically — sanity-check them against Xray page-1 unit sales before copying into C6/C7 above.</t>
  </si>
  <si>
    <t>PPC planner — economics, launch budget, waste finder</t>
  </si>
  <si>
    <t>Top: what you can afford to pay for ads. Bottom: paste your Search Term Report and see the money leaking.</t>
  </si>
  <si>
    <t>Ad economics</t>
  </si>
  <si>
    <t>CPR launch push (v4)</t>
  </si>
  <si>
    <t>Gross price (incl. VAT)</t>
  </si>
  <si>
    <t>CPR — units in 8 days (Cerebro)</t>
  </si>
  <si>
    <t>Launch discount per unit (EUR)</t>
  </si>
  <si>
    <t>Breakeven ACOS</t>
  </si>
  <si>
    <t>Goods burned by the push</t>
  </si>
  <si>
    <t>Breakeven ROAS</t>
  </si>
  <si>
    <t>8 days of launch ads</t>
  </si>
  <si>
    <t>Share of margin given to ads at steady state</t>
  </si>
  <si>
    <t>0.30 = you keep 70% of margin, ads take 30%.</t>
  </si>
  <si>
    <t>Total cost of the CPR push</t>
  </si>
  <si>
    <t>Target ACOS (profit phase)</t>
  </si>
  <si>
    <t>Target ROAS</t>
  </si>
  <si>
    <t>Compare against Sheet 3 margin × CPR units: if the push costs more than ~6 weeks of expected page-1 contribution, the keyword is too expensive to attack head-on — launch on a cheaper child keyword first.</t>
  </si>
  <si>
    <t>Launch budget</t>
  </si>
  <si>
    <t>Target ad-driven orders per day</t>
  </si>
  <si>
    <t>Estimated CPC (EUR)</t>
  </si>
  <si>
    <t>Estimated conversion rate</t>
  </si>
  <si>
    <t>Clicks per order = 1 / CVR. 10% is a decent listing; below 7% fix the listing, not the bids.</t>
  </si>
  <si>
    <t>Daily ad spend</t>
  </si>
  <si>
    <t>Launch length (weeks)</t>
  </si>
  <si>
    <t>Launch ad budget</t>
  </si>
  <si>
    <t>TACOS = ad spend ÷ TOTAL sales (ads + organic). Track it monthly in Sheet 9 — healthy: falling while sales grow.</t>
  </si>
  <si>
    <t>Waste finder — summary</t>
  </si>
  <si>
    <t>Flag 0-order terms with clicks ≥</t>
  </si>
  <si>
    <t>…or spend ≥ (EUR)</t>
  </si>
  <si>
    <t>Wasted spend on 0-order terms</t>
  </si>
  <si>
    <t>Negative-keyword candidates</t>
  </si>
  <si>
    <t>Paste your Search Term Report below (Ads console → Sponsored Products → Reports → Search term, 30–60 days). First 3 rows are examples — overwrite them.</t>
  </si>
  <si>
    <t>Search term</t>
  </si>
  <si>
    <t>Clicks</t>
  </si>
  <si>
    <t>Spend €</t>
  </si>
  <si>
    <t>Orders</t>
  </si>
  <si>
    <t>Sales €</t>
  </si>
  <si>
    <t>fahrradhelm herren</t>
  </si>
  <si>
    <t>helm kinder</t>
  </si>
  <si>
    <t>motorradhelm</t>
  </si>
  <si>
    <t>First-order cash plan — 12 months</t>
  </si>
  <si>
    <t>Money leaves in lumps and comes back as a drip. If the cumulative line goes below zero, the plan is not funded.</t>
  </si>
  <si>
    <t>Order quantity</t>
  </si>
  <si>
    <t>PO value (goods, landed)</t>
  </si>
  <si>
    <t>Deposit share at order (month 0)</t>
  </si>
  <si>
    <t>Balance paid in month #</t>
  </si>
  <si>
    <t>Goods arrive in month #</t>
  </si>
  <si>
    <t>Import VAT paid at arrival (≈19% of PO)</t>
  </si>
  <si>
    <t>Import VAT refunded after (months)</t>
  </si>
  <si>
    <t>Amazon payout per unit sold</t>
  </si>
  <si>
    <t>Starting cash available (EUR)</t>
  </si>
  <si>
    <t>Units sold</t>
  </si>
  <si>
    <t>Ads+fixed €</t>
  </si>
  <si>
    <t>Cash out €</t>
  </si>
  <si>
    <t>Cash in €</t>
  </si>
  <si>
    <t>Net €</t>
  </si>
  <si>
    <t>Cumulative €</t>
  </si>
  <si>
    <t>Units plan: copy the seasonal shape from Sheet 1; example follows a spring ramp.</t>
  </si>
  <si>
    <t>Ads column: launch-heavy, from Sheet 7's launch budget, then steady state.</t>
  </si>
  <si>
    <t>Lowest cash point</t>
  </si>
  <si>
    <t>Not included: your salary, Georgian 1% tax timing, the reorder. Add the reorder as extra cash-out rows when you plan it — running out of stock in season kills launches (Sheet 4, block C).</t>
  </si>
  <si>
    <t>Cash cycle (days per euro, v4)</t>
  </si>
  <si>
    <t>Cash turns per year</t>
  </si>
  <si>
    <t>Monthly P&amp;L — the real profit, per month</t>
  </si>
  <si>
    <t>Fill monthly from Payments → Reports repository → Date Range Report (Summary) and the Ads console. Enter costs as POSITIVE numbers. Row 6 is an example — overwrite it.</t>
  </si>
  <si>
    <t>Units</t>
  </si>
  <si>
    <t>Gross sales €</t>
  </si>
  <si>
    <t>Amazon fees €</t>
  </si>
  <si>
    <t>Refunds €</t>
  </si>
  <si>
    <t>PPC €</t>
  </si>
  <si>
    <t>Storage+other €</t>
  </si>
  <si>
    <t>COGS € (auto)</t>
  </si>
  <si>
    <t>Tax € (auto)</t>
  </si>
  <si>
    <t>Net profit €</t>
  </si>
  <si>
    <t>Margin %</t>
  </si>
  <si>
    <t>TACOS</t>
  </si>
  <si>
    <t>Net profit = gross/1.19 − fees − refunds − PPC − storage − COGS − 1% turnover tax. VAT never reaches you (deemed supplier), so it is excluded on both sides.</t>
  </si>
  <si>
    <t>Cross-check: Margin % here should converge to Sheet 3's margin as volumes stabilize. If it is far lower, hunt the difference: storage, refunds, PPC.</t>
  </si>
  <si>
    <t>Money recovery — what Amazon owes you</t>
  </si>
  <si>
    <t>Sellers lose 1–3% of revenue to unclaimed reimbursements. The claim window is 60 DAYS, and since Mar 2025 auto-reimbursements cover only your manufacturing cost — check monthly, claim actively.</t>
  </si>
  <si>
    <t>Adjustments without a matching reimbursement:</t>
  </si>
  <si>
    <t>A — paste Inventory Adjustments (Reports → Fulfilment by Amazon → Inventory Adjustments; filter Lost, Damaged, Disposed). Rows 12–13 are examples.</t>
  </si>
  <si>
    <t>Date</t>
  </si>
  <si>
    <t>FNSKU</t>
  </si>
  <si>
    <t>Reason</t>
  </si>
  <si>
    <t>Qty</t>
  </si>
  <si>
    <t>Status</t>
  </si>
  <si>
    <t>X001ABC</t>
  </si>
  <si>
    <t>Lost</t>
  </si>
  <si>
    <t>X002DEF</t>
  </si>
  <si>
    <t>Damaged</t>
  </si>
  <si>
    <t>B — paste Reimbursements (Reports → Fulfilment by Amazon → Payments → Reimbursements). Row 68 is an example.</t>
  </si>
  <si>
    <t>Amount €</t>
  </si>
  <si>
    <t>C — FBA fee sanity check (fee overcharges from wrong measurements)</t>
  </si>
  <si>
    <t>Length (cm)</t>
  </si>
  <si>
    <t>Width (cm)</t>
  </si>
  <si>
    <t>Height (cm)</t>
  </si>
  <si>
    <t>Unit weight (g)</t>
  </si>
  <si>
    <t>FBA fee you are charged (EUR)</t>
  </si>
  <si>
    <t>Volume (litres)</t>
  </si>
  <si>
    <t>Longest side (cm)</t>
  </si>
  <si>
    <t>Compare volume, longest side and weight against the current size tiers in Seller Central → 'FBA fulfilment fees rate card'. If your true tier is smaller than the fee implies, request a re-measure (case: FBA → Fee dispute). Amazon's measurements drift — recheck after every restock.</t>
  </si>
  <si>
    <t>Monthly audit routine</t>
  </si>
  <si>
    <t>Done?</t>
  </si>
  <si>
    <t>Adjustments report pulled and pasted (last 60 days)</t>
  </si>
  <si>
    <t>Reimbursements report pulled and pasted</t>
  </si>
  <si>
    <t>All flags above opened as cases</t>
  </si>
  <si>
    <t>Returns: refunds older than 60 days without item back → claim</t>
  </si>
  <si>
    <t>FBA fee vs dimensions rechecked after last restock</t>
  </si>
  <si>
    <t>Review themes — find the complaint to attack</t>
  </si>
  <si>
    <t>Export 1–3★ reviews of the top 5–10 ASINs (H10 Review Insights, last 12 months). Ask an AI assistant: 'cluster these reviews into complaint themes with counts'. Enter the themes below. Example data shown — overwrite.</t>
  </si>
  <si>
    <t>Niche / ASIN set</t>
  </si>
  <si>
    <t>satteltasche fahrrad</t>
  </si>
  <si>
    <t>Complaint theme</t>
  </si>
  <si>
    <t>Count</t>
  </si>
  <si>
    <t>Share</t>
  </si>
  <si>
    <t>Wobbles / mount comes loose</t>
  </si>
  <si>
    <t>Straps tear</t>
  </si>
  <si>
    <t>Not actually waterproof</t>
  </si>
  <si>
    <t>Too small / fit unclear</t>
  </si>
  <si>
    <t>Zipper fails</t>
  </si>
  <si>
    <t>Dominant theme</t>
  </si>
  <si>
    <t>Its share of all complaints</t>
  </si>
  <si>
    <t>Fake-review check — YES = red flag present</t>
  </si>
  <si>
    <t>Review bursts: many reviews landing within a few days</t>
  </si>
  <si>
    <t>Rating drifting down over 6 months after an early 4.7+</t>
  </si>
  <si>
    <t>Generic / repeated phrasing, or wrong product described</t>
  </si>
  <si>
    <t>High share of unverified purchases</t>
  </si>
  <si>
    <t>Oldest reviews describe a DIFFERENT product (listing merge)</t>
  </si>
  <si>
    <t>Reviewer profiles: many unrelated 5★ reviews same day</t>
  </si>
  <si>
    <t>Red flags</t>
  </si>
  <si>
    <t>Keepa's review-count history chart shows bursts in ten seconds per ASIN. Method: He, Hollenbeck &amp; Proserpio, Marketing Science 2022.</t>
  </si>
  <si>
    <t>Multi-year plan — 12 quarters, up to 3 staggered launches</t>
  </si>
  <si>
    <t>The business-level question Sheet 8 cannot answer: if product 2 launches while product 1 is still ramping, does the combined plan ever run out of cash? Quarterly and deliberately coarse — Sheet 8 stays the fine-grained monthly check per product.</t>
  </si>
  <si>
    <t>Global inputs</t>
  </si>
  <si>
    <t>Starting cash (from Sheet 8)</t>
  </si>
  <si>
    <t>Fixed costs per quarter (EUR)</t>
  </si>
  <si>
    <t>Helium 10, LUCID/EPR fees, accountant, software — everything that bills regardless of sales.</t>
  </si>
  <si>
    <t>Launch-quarter sales share (ramp)</t>
  </si>
  <si>
    <t>Products (leave a column empty to plan fewer)</t>
  </si>
  <si>
    <t>Product 1</t>
  </si>
  <si>
    <t>Product 2</t>
  </si>
  <si>
    <t>Product 3</t>
  </si>
  <si>
    <t>Launch quarter (1–12)</t>
  </si>
  <si>
    <t>Mature sales, units per QUARTER</t>
  </si>
  <si>
    <t>Payout per unit after tax (EUR)</t>
  </si>
  <si>
    <t>Product 1 pulls from Sheet 3 (Amazon payout minus 1% turnover tax). For products 2–3, run Sheet 3 per product and type the result.</t>
  </si>
  <si>
    <t>Landed cost per unit (EUR)</t>
  </si>
  <si>
    <t>One-off launch cash (first PO + compliance + launch extras)</t>
  </si>
  <si>
    <t>Ongoing ads per unit sold (EUR)</t>
  </si>
  <si>
    <t>Steady-state ad cost per unit ≈ target ACOS × gross price (Sheet 7).</t>
  </si>
  <si>
    <t>Year 1</t>
  </si>
  <si>
    <t>Year 2</t>
  </si>
  <si>
    <t>Year 3</t>
  </si>
  <si>
    <t>Quarter</t>
  </si>
  <si>
    <t>Units sold — product 1</t>
  </si>
  <si>
    <t>Units sold — product 2</t>
  </si>
  <si>
    <t>Units sold — product 3</t>
  </si>
  <si>
    <t>Cash in (payouts after tax)</t>
  </si>
  <si>
    <t>Stock purchases (next quarter's units)</t>
  </si>
  <si>
    <t>Launch one-offs</t>
  </si>
  <si>
    <t>Ongoing ads</t>
  </si>
  <si>
    <t>Fixed costs</t>
  </si>
  <si>
    <t>Net cash</t>
  </si>
  <si>
    <t>Cumulative cash</t>
  </si>
  <si>
    <t>Lowest cash point (12 quarters)</t>
  </si>
  <si>
    <t>Net cash by year</t>
  </si>
  <si>
    <t>Ramp: launch quarter sells 40% of the mature rate, the next quarter 70%, mature from the third (change C8). Stock is bought one quarter ahead of sale; the FIRST order of each product sits inside its one-off launch cash, which leaves the quarter before launch.</t>
  </si>
  <si>
    <t>Structure follows the Freedom Ticket 4-year model (units → cash → minimum-cash, staggered launches); the economics are this file's: German deemed-supplier payouts, CIF duty in landed cost, 1% Georgian turnover tax. No seasonality inside a quarter — quarters smooth it; use Sheet 8 for the monthly view of the current product.</t>
  </si>
  <si>
    <t>Read C32 with Sheet 8's cash-turns number: at ~2 turns per year, cash committed to product 2's launch is locked for ~6 months — that is why launches cluster cash crises even when every product is individually profitable.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</si>
</sst>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%"/>
    <numFmt numFmtId="166" formatCode="#,##0.00&quot; €&quot;"/>
    <numFmt numFmtId="167" formatCode="0.0"/>
    <numFmt numFmtId="168" formatCode="&quot;Q&quot;0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i/>
      <sz val="9"/>
      <color rgb="FF808080"/>
      <name val="Arial"/>
    </font>
    <font>
      <b/>
      <sz val="10"/>
      <name val="Arial"/>
    </font>
    <font>
      <u/>
      <sz val="10"/>
      <color rgb="FF0563C1"/>
      <name val="Arial"/>
    </font>
    <font>
      <sz val="10"/>
      <color rgb="FF00800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top" wrapText="1"/>
    </xf>
    <xf numFmtId="0" fontId="7" fillId="3" borderId="0" xfId="0" applyFont="1" applyFill="1"/>
    <xf numFmtId="164" fontId="7" fillId="3" borderId="0" xfId="0" applyNumberFormat="1" applyFont="1" applyFill="1"/>
    <xf numFmtId="0" fontId="2" fillId="0" borderId="0" xfId="0" applyFont="1"/>
    <xf numFmtId="3" fontId="7" fillId="3" borderId="0" xfId="0" applyNumberFormat="1" applyFont="1" applyFill="1"/>
    <xf numFmtId="3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3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" fontId="7" fillId="3" borderId="0" xfId="0" applyNumberFormat="1" applyFont="1" applyFill="1"/>
    <xf numFmtId="1" fontId="4" fillId="0" borderId="0" xfId="0" applyNumberFormat="1" applyFont="1"/>
    <xf numFmtId="164" fontId="4" fillId="0" borderId="0" xfId="0" applyNumberFormat="1" applyFont="1"/>
    <xf numFmtId="166" fontId="7" fillId="3" borderId="0" xfId="0" applyNumberFormat="1" applyFont="1" applyFill="1"/>
    <xf numFmtId="165" fontId="7" fillId="3" borderId="0" xfId="0" applyNumberFormat="1" applyFont="1" applyFill="1"/>
    <xf numFmtId="166" fontId="2" fillId="0" borderId="0" xfId="0" applyNumberFormat="1" applyFont="1"/>
    <xf numFmtId="166" fontId="4" fillId="0" borderId="0" xfId="0" applyNumberFormat="1" applyFont="1"/>
    <xf numFmtId="167" fontId="2" fillId="0" borderId="0" xfId="0" applyNumberFormat="1" applyFont="1"/>
    <xf numFmtId="167" fontId="4" fillId="0" borderId="0" xfId="0" applyNumberFormat="1" applyFont="1"/>
    <xf numFmtId="2" fontId="7" fillId="3" borderId="0" xfId="0" applyNumberFormat="1" applyFont="1" applyFill="1"/>
    <xf numFmtId="9" fontId="7" fillId="3" borderId="0" xfId="0" applyNumberFormat="1" applyFont="1" applyFill="1"/>
    <xf numFmtId="166" fontId="6" fillId="0" borderId="0" xfId="0" applyNumberFormat="1" applyFont="1"/>
    <xf numFmtId="3" fontId="6" fillId="0" borderId="0" xfId="0" applyNumberFormat="1" applyFont="1"/>
    <xf numFmtId="167" fontId="7" fillId="3" borderId="0" xfId="0" applyNumberFormat="1" applyFont="1" applyFill="1"/>
    <xf numFmtId="168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B2:E26"/>
  <sheetViews>
    <sheetView tabSelected="1" workbookViewId="0"/>
  </sheetViews>
  <sheetFormatPr baseColWidth="10" defaultColWidth="8.83203125" defaultRowHeight="15" x14ac:dyDescent="0.2"/>
  <cols>
    <col min="1" max="1" width="2" customWidth="1"/>
    <col min="2" max="2" width="20" customWidth="1"/>
    <col min="3" max="3" width="46" customWidth="1"/>
    <col min="4" max="4" width="9" customWidth="1"/>
    <col min="5" max="5" width="48" customWidth="1"/>
  </cols>
  <sheetData>
    <row r="2" spans="2:5" ht="16" x14ac:dyDescent="0.2">
      <c r="B2" s="1" t="s">
        <v>0</v>
      </c>
    </row>
    <row r="3" spans="2:5" ht="84" x14ac:dyDescent="0.2">
      <c r="B3" s="2" t="s">
        <v>1</v>
      </c>
    </row>
    <row r="5" spans="2:5" ht="78" x14ac:dyDescent="0.2">
      <c r="B5" s="3" t="s">
        <v>2</v>
      </c>
    </row>
    <row r="6" spans="2:5" ht="65" x14ac:dyDescent="0.2">
      <c r="B6" s="3" t="s">
        <v>3</v>
      </c>
    </row>
    <row r="8" spans="2:5" x14ac:dyDescent="0.2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2">
      <c r="B9" s="5" t="s">
        <v>8</v>
      </c>
      <c r="C9" s="2" t="s">
        <v>9</v>
      </c>
      <c r="D9" s="6" t="str">
        <f>HYPERLINK("#'Guide'!B2","Open →")</f>
        <v>Open →</v>
      </c>
      <c r="E9" s="7" t="str">
        <f>"read once before starting"</f>
        <v>read once before starting</v>
      </c>
    </row>
    <row r="10" spans="2:5" x14ac:dyDescent="0.2">
      <c r="B10" s="5" t="s">
        <v>10</v>
      </c>
      <c r="C10" s="2" t="s">
        <v>11</v>
      </c>
      <c r="D10" s="6" t="str">
        <f>HYPERLINK("#'1 Seasonality'!B2","Open →")</f>
        <v>Open →</v>
      </c>
      <c r="E10" s="7" t="str">
        <f>IFERROR("amplitude "&amp;TEXT('1 Seasonality'!C29,"0.00")&amp;"x · ramp "&amp;'1 Seasonality'!C34&amp;" · YoY "&amp;TEXT('1 Seasonality'!C31,"+0.0%;-0.0%"),"fill Sheet 1")</f>
        <v>amplitude 005x · ramp Apr · YoY +09%</v>
      </c>
    </row>
    <row r="11" spans="2:5" x14ac:dyDescent="0.2">
      <c r="B11" s="5" t="s">
        <v>12</v>
      </c>
      <c r="C11" s="2" t="s">
        <v>13</v>
      </c>
      <c r="D11" s="6" t="str">
        <f>HYPERLINK("#'2 Order timing'!B2","Open →")</f>
        <v>Open →</v>
      </c>
      <c r="E11" s="7" t="str">
        <f ca="1">IFERROR("order by "&amp;TEXT('2 Order timing'!C20,"yyyy-mm-dd")&amp;" · "&amp;TEXT('2 Order timing'!C21,"0")&amp;" days left","fill Sheet 2")</f>
        <v>order by yyyy-00-dd · 38 days left</v>
      </c>
    </row>
    <row r="12" spans="2:5" x14ac:dyDescent="0.2">
      <c r="B12" s="5" t="s">
        <v>14</v>
      </c>
      <c r="C12" s="2" t="s">
        <v>15</v>
      </c>
      <c r="D12" s="6" t="str">
        <f>HYPERLINK("#'3 Unit economics'!B2","Open →")</f>
        <v>Open →</v>
      </c>
      <c r="E12" s="7" t="str">
        <f>IFERROR("margin "&amp;TEXT('3 Unit economics'!C30,"0.0%")&amp;" · breakeven ACOS "&amp;TEXT('3 Unit economics'!C31,"0.0%"),"fill Sheet 3")</f>
        <v>margin 40% · breakeven ACOS 34%</v>
      </c>
    </row>
    <row r="13" spans="2:5" x14ac:dyDescent="0.2">
      <c r="B13" s="5" t="s">
        <v>16</v>
      </c>
      <c r="C13" s="2" t="s">
        <v>17</v>
      </c>
      <c r="D13" s="6" t="str">
        <f>HYPERLINK("#'4 Selection'!B2","Open →")</f>
        <v>Open →</v>
      </c>
      <c r="E13" s="7" t="str">
        <f>IFERROR("A: "&amp;'4 Selection'!C32&amp;" · B "&amp;'4 Selection'!C33&amp;" · C "&amp;'4 Selection'!C34,"fill Sheet 4")</f>
        <v>A: CLEAN · B 8 / 8 · C 5 / 5</v>
      </c>
    </row>
    <row r="14" spans="2:5" x14ac:dyDescent="0.2">
      <c r="B14" s="5" t="s">
        <v>18</v>
      </c>
      <c r="C14" s="2" t="s">
        <v>19</v>
      </c>
      <c r="D14" s="6" t="str">
        <f>HYPERLINK("#'5 Niche scorecard'!B2","Open →")</f>
        <v>Open →</v>
      </c>
      <c r="E14" s="7" t="str">
        <f>IF(COUNT('5 Niche scorecard'!D32:K32)=0,"no niches scored yet","best score "&amp;TEXT(MAX('5 Niche scorecard'!D32:K32),"0")&amp;"/100")</f>
        <v>best score 65/100</v>
      </c>
    </row>
    <row r="15" spans="2:5" x14ac:dyDescent="0.2">
      <c r="B15" s="5" t="s">
        <v>20</v>
      </c>
      <c r="C15" s="2" t="s">
        <v>21</v>
      </c>
      <c r="D15" s="6" t="str">
        <f>HYPERLINK("#'6 Order size'!B2","Open →")</f>
        <v>Open →</v>
      </c>
      <c r="E15" s="7" t="str">
        <f>IFERROR("order "&amp;TEXT('6 Order size'!C24,"#,##0")&amp;" units","fill Sheets 3 + 6")</f>
        <v>order 386,0 units</v>
      </c>
    </row>
    <row r="16" spans="2:5" x14ac:dyDescent="0.2">
      <c r="B16" s="5" t="s">
        <v>22</v>
      </c>
      <c r="C16" s="2" t="s">
        <v>23</v>
      </c>
      <c r="D16" s="6" t="str">
        <f>HYPERLINK("#'7 PPC planner'!B2","Open →")</f>
        <v>Open →</v>
      </c>
      <c r="E16" s="7" t="str">
        <f>IFERROR("target ACOS "&amp;TEXT('7 PPC planner'!C11,"0.0%")&amp;" · wasted "&amp;TEXT('7 PPC planner'!C25,"#,##0")&amp;" € found","fill Sheet 7")</f>
        <v>target ACOS 10% · wasted 45,0 € found</v>
      </c>
    </row>
    <row r="17" spans="2:5" x14ac:dyDescent="0.2">
      <c r="B17" s="5" t="s">
        <v>24</v>
      </c>
      <c r="C17" s="2" t="s">
        <v>25</v>
      </c>
      <c r="D17" s="6" t="str">
        <f>HYPERLINK("#'8 Cash flow'!B2","Open →")</f>
        <v>Open →</v>
      </c>
      <c r="E17" s="7" t="str">
        <f>IFERROR("lowest cash point "&amp;TEXT('8 Cash flow'!C32,"#,##0")&amp;" €","fill Sheet 8")</f>
        <v>lowest cash point 1509,0 €</v>
      </c>
    </row>
    <row r="18" spans="2:5" x14ac:dyDescent="0.2">
      <c r="B18" s="5" t="s">
        <v>26</v>
      </c>
      <c r="C18" s="2" t="s">
        <v>27</v>
      </c>
      <c r="D18" s="6" t="str">
        <f>HYPERLINK("#'9 Monthly P&amp;L'!B2","Open →")</f>
        <v>Open →</v>
      </c>
      <c r="E18" s="7" t="str">
        <f>IF('9 Monthly P&amp;L'!K18=0,"no months filled yet","YTD profit "&amp;TEXT('9 Monthly P&amp;L'!K18,"#,##0")&amp;" €")</f>
        <v>YTD profit 1178,0 €</v>
      </c>
    </row>
    <row r="19" spans="2:5" x14ac:dyDescent="0.2">
      <c r="B19" s="5" t="s">
        <v>28</v>
      </c>
      <c r="C19" s="2" t="s">
        <v>29</v>
      </c>
      <c r="D19" s="6" t="str">
        <f>HYPERLINK("#'10 Money recovery'!B2","Open →")</f>
        <v>Open →</v>
      </c>
      <c r="E19" s="7" t="str">
        <f>"unclaimed flags: "&amp;'10 Money recovery'!C5</f>
        <v>unclaimed flags: 1</v>
      </c>
    </row>
    <row r="20" spans="2:5" x14ac:dyDescent="0.2">
      <c r="B20" s="5" t="s">
        <v>30</v>
      </c>
      <c r="C20" s="2" t="s">
        <v>31</v>
      </c>
      <c r="D20" s="6" t="str">
        <f>HYPERLINK("#'11 Review themes'!B2","Open →")</f>
        <v>Open →</v>
      </c>
      <c r="E20" s="7" t="str">
        <f>IF('11 Review themes'!C19="—","no themes entered yet",'11 Review themes'!C19&amp;" ("&amp;TEXT('11 Review themes'!C20,"0%")&amp;")")</f>
        <v>Wobbles / mount comes loose (43%)</v>
      </c>
    </row>
    <row r="21" spans="2:5" x14ac:dyDescent="0.2">
      <c r="B21" s="5" t="s">
        <v>32</v>
      </c>
      <c r="C21" s="2" t="s">
        <v>33</v>
      </c>
      <c r="D21" s="6" t="str">
        <f>HYPERLINK("#'12 Multi-year plan'!B2","Open →")</f>
        <v>Open →</v>
      </c>
      <c r="E21" s="7" t="str">
        <f>IFERROR("lowest cash across 12 quarters "&amp;TEXT('12 Multi-year plan'!C32,"#,##0")&amp;" €","fill Sheet 12")</f>
        <v>lowest cash across 12 quarters -3406,0 €</v>
      </c>
    </row>
    <row r="23" spans="2:5" x14ac:dyDescent="0.2">
      <c r="B23" s="5" t="s">
        <v>34</v>
      </c>
    </row>
    <row r="24" spans="2:5" x14ac:dyDescent="0.2">
      <c r="B24" s="5" t="s">
        <v>35</v>
      </c>
    </row>
    <row r="26" spans="2:5" ht="78" x14ac:dyDescent="0.2">
      <c r="B26" s="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B1:B33"/>
  <sheetViews>
    <sheetView workbookViewId="0"/>
  </sheetViews>
  <sheetFormatPr baseColWidth="10" defaultColWidth="8.83203125" defaultRowHeight="15" x14ac:dyDescent="0.2"/>
  <cols>
    <col min="1" max="1" width="2" customWidth="1"/>
    <col min="2" max="2" width="110" customWidth="1"/>
  </cols>
  <sheetData>
    <row r="1" spans="2:2" x14ac:dyDescent="0.2">
      <c r="B1" s="6" t="str">
        <f>HYPERLINK("#Start!B2","← Start")</f>
        <v>← Start</v>
      </c>
    </row>
    <row r="2" spans="2:2" ht="16" x14ac:dyDescent="0.2">
      <c r="B2" s="1" t="s">
        <v>37</v>
      </c>
    </row>
    <row r="4" spans="2:2" x14ac:dyDescent="0.2">
      <c r="B4" s="8" t="s">
        <v>38</v>
      </c>
    </row>
    <row r="5" spans="2:2" ht="28" x14ac:dyDescent="0.2">
      <c r="B5" s="2" t="s">
        <v>39</v>
      </c>
    </row>
    <row r="7" spans="2:2" ht="42" x14ac:dyDescent="0.2">
      <c r="B7" s="2" t="s">
        <v>40</v>
      </c>
    </row>
    <row r="9" spans="2:2" x14ac:dyDescent="0.2">
      <c r="B9" s="8" t="s">
        <v>41</v>
      </c>
    </row>
    <row r="10" spans="2:2" ht="56" x14ac:dyDescent="0.2">
      <c r="B10" s="2" t="s">
        <v>42</v>
      </c>
    </row>
    <row r="13" spans="2:2" ht="28" x14ac:dyDescent="0.2">
      <c r="B13" s="2" t="s">
        <v>43</v>
      </c>
    </row>
    <row r="15" spans="2:2" x14ac:dyDescent="0.2">
      <c r="B15" s="8" t="s">
        <v>44</v>
      </c>
    </row>
    <row r="16" spans="2:2" x14ac:dyDescent="0.2">
      <c r="B16" s="2" t="s">
        <v>45</v>
      </c>
    </row>
    <row r="17" spans="2:2" x14ac:dyDescent="0.2">
      <c r="B17" s="2" t="s">
        <v>46</v>
      </c>
    </row>
    <row r="18" spans="2:2" ht="28" x14ac:dyDescent="0.2">
      <c r="B18" s="2" t="s">
        <v>47</v>
      </c>
    </row>
    <row r="19" spans="2:2" x14ac:dyDescent="0.2">
      <c r="B19" s="2" t="s">
        <v>48</v>
      </c>
    </row>
    <row r="20" spans="2:2" ht="28" x14ac:dyDescent="0.2">
      <c r="B20" s="2" t="s">
        <v>49</v>
      </c>
    </row>
    <row r="22" spans="2:2" x14ac:dyDescent="0.2">
      <c r="B22" s="8" t="s">
        <v>50</v>
      </c>
    </row>
    <row r="23" spans="2:2" ht="42" x14ac:dyDescent="0.2">
      <c r="B23" s="2" t="s">
        <v>51</v>
      </c>
    </row>
    <row r="25" spans="2:2" x14ac:dyDescent="0.2">
      <c r="B25" s="8" t="s">
        <v>52</v>
      </c>
    </row>
    <row r="26" spans="2:2" ht="56" x14ac:dyDescent="0.2">
      <c r="B26" s="2" t="s">
        <v>53</v>
      </c>
    </row>
    <row r="28" spans="2:2" x14ac:dyDescent="0.2">
      <c r="B28" s="8" t="s">
        <v>54</v>
      </c>
    </row>
    <row r="29" spans="2:2" ht="56" x14ac:dyDescent="0.2">
      <c r="B29" s="2" t="s">
        <v>55</v>
      </c>
    </row>
    <row r="31" spans="2:2" ht="42" x14ac:dyDescent="0.2">
      <c r="B31" s="2" t="s">
        <v>56</v>
      </c>
    </row>
    <row r="33" spans="2:2" ht="26" x14ac:dyDescent="0.2">
      <c r="B33" s="3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B1:I38"/>
  <sheetViews>
    <sheetView workbookViewId="0"/>
  </sheetViews>
  <sheetFormatPr baseColWidth="10" defaultColWidth="8.83203125" defaultRowHeight="15" x14ac:dyDescent="0.2"/>
  <cols>
    <col min="1" max="1" width="2" customWidth="1"/>
    <col min="2" max="2" width="26" customWidth="1"/>
    <col min="3" max="5" width="12" customWidth="1"/>
    <col min="6" max="7" width="9" customWidth="1"/>
    <col min="8" max="8" width="30" customWidth="1"/>
    <col min="9" max="9" width="6" customWidth="1"/>
  </cols>
  <sheetData>
    <row r="1" spans="2:9" x14ac:dyDescent="0.2">
      <c r="B1" s="6" t="str">
        <f>HYPERLINK("#Start!B2","← Start")</f>
        <v>← Start</v>
      </c>
    </row>
    <row r="2" spans="2:9" ht="16" x14ac:dyDescent="0.2">
      <c r="B2" s="1" t="s">
        <v>58</v>
      </c>
    </row>
    <row r="3" spans="2:9" ht="52" x14ac:dyDescent="0.2">
      <c r="B3" s="3" t="s">
        <v>59</v>
      </c>
    </row>
    <row r="4" spans="2:9" ht="78" x14ac:dyDescent="0.2">
      <c r="B4" s="5" t="s">
        <v>60</v>
      </c>
      <c r="C4" s="9" t="s">
        <v>61</v>
      </c>
      <c r="G4" s="3" t="s">
        <v>62</v>
      </c>
    </row>
    <row r="5" spans="2:9" x14ac:dyDescent="0.2">
      <c r="B5" s="5" t="s">
        <v>63</v>
      </c>
      <c r="C5" s="9" t="s">
        <v>64</v>
      </c>
    </row>
    <row r="6" spans="2:9" x14ac:dyDescent="0.2">
      <c r="B6" s="5" t="s">
        <v>65</v>
      </c>
      <c r="C6" s="9" t="s">
        <v>66</v>
      </c>
    </row>
    <row r="7" spans="2:9" x14ac:dyDescent="0.2">
      <c r="B7" s="5" t="s">
        <v>67</v>
      </c>
      <c r="C7" s="10">
        <v>46248</v>
      </c>
    </row>
    <row r="9" spans="2:9" x14ac:dyDescent="0.2"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</row>
    <row r="10" spans="2:9" x14ac:dyDescent="0.2">
      <c r="B10" s="11" t="s">
        <v>76</v>
      </c>
      <c r="C10" s="12">
        <v>9800</v>
      </c>
      <c r="D10" s="12">
        <v>10400</v>
      </c>
      <c r="E10" s="13">
        <f t="shared" ref="E10:E21" si="0">IF(COUNT(C10:D10)=0,"",AVERAGE(C10:D10))</f>
        <v>10100</v>
      </c>
      <c r="F10" s="14">
        <f t="shared" ref="F10:F21" si="1">IF($E10="","",$E10/AVERAGE($E$10:$E$21))</f>
        <v>0.4287988678577746</v>
      </c>
      <c r="G10" s="15">
        <f t="shared" ref="G10:G21" si="2">IF(COUNT(C10:D10)&lt;2,"",D10/C10-1)</f>
        <v>6.1224489795918435E-2</v>
      </c>
      <c r="I10" s="16">
        <f>IF(OR($F10="",$F$21=""),0,IF(AND($F10&gt;=1,$F$21&lt;1),1,0))</f>
        <v>0</v>
      </c>
    </row>
    <row r="11" spans="2:9" x14ac:dyDescent="0.2">
      <c r="B11" s="11" t="s">
        <v>77</v>
      </c>
      <c r="C11" s="12">
        <v>11500</v>
      </c>
      <c r="D11" s="12">
        <v>12600</v>
      </c>
      <c r="E11" s="13">
        <f t="shared" si="0"/>
        <v>12050</v>
      </c>
      <c r="F11" s="14">
        <f t="shared" si="1"/>
        <v>0.51158676808774095</v>
      </c>
      <c r="G11" s="15">
        <f t="shared" si="2"/>
        <v>9.565217391304337E-2</v>
      </c>
      <c r="I11" s="16">
        <f>IF(OR($F11="",$F$10=""),0,IF(AND($F11&gt;=1,$F$10&lt;1),1,0))</f>
        <v>0</v>
      </c>
    </row>
    <row r="12" spans="2:9" x14ac:dyDescent="0.2">
      <c r="B12" s="11" t="s">
        <v>78</v>
      </c>
      <c r="C12" s="12">
        <v>21000</v>
      </c>
      <c r="D12" s="12">
        <v>23500</v>
      </c>
      <c r="E12" s="13">
        <f t="shared" si="0"/>
        <v>22250</v>
      </c>
      <c r="F12" s="14">
        <f t="shared" si="1"/>
        <v>0.94463116929064206</v>
      </c>
      <c r="G12" s="15">
        <f t="shared" si="2"/>
        <v>0.11904761904761907</v>
      </c>
      <c r="I12" s="16">
        <f>IF(OR($F12="",$F$11=""),0,IF(AND($F12&gt;=1,$F$11&lt;1),1,0))</f>
        <v>0</v>
      </c>
    </row>
    <row r="13" spans="2:9" x14ac:dyDescent="0.2">
      <c r="B13" s="11" t="s">
        <v>79</v>
      </c>
      <c r="C13" s="12">
        <v>29000</v>
      </c>
      <c r="D13" s="12">
        <v>31500</v>
      </c>
      <c r="E13" s="13">
        <f t="shared" si="0"/>
        <v>30250</v>
      </c>
      <c r="F13" s="14">
        <f t="shared" si="1"/>
        <v>1.2842738369007607</v>
      </c>
      <c r="G13" s="15">
        <f t="shared" si="2"/>
        <v>8.6206896551724199E-2</v>
      </c>
      <c r="I13" s="16">
        <f>IF(OR($F13="",$F$12=""),0,IF(AND($F13&gt;=1,$F$12&lt;1),1,0))</f>
        <v>1</v>
      </c>
    </row>
    <row r="14" spans="2:9" x14ac:dyDescent="0.2">
      <c r="B14" s="11" t="s">
        <v>80</v>
      </c>
      <c r="C14" s="12">
        <v>34000</v>
      </c>
      <c r="D14" s="12">
        <v>37000</v>
      </c>
      <c r="E14" s="13">
        <f t="shared" si="0"/>
        <v>35500</v>
      </c>
      <c r="F14" s="14">
        <f t="shared" si="1"/>
        <v>1.5071643375199009</v>
      </c>
      <c r="G14" s="15">
        <f t="shared" si="2"/>
        <v>8.8235294117646967E-2</v>
      </c>
      <c r="I14" s="16">
        <f>IF(OR($F14="",$F$13=""),0,IF(AND($F14&gt;=1,$F$13&lt;1),1,0))</f>
        <v>0</v>
      </c>
    </row>
    <row r="15" spans="2:9" x14ac:dyDescent="0.2">
      <c r="B15" s="11" t="s">
        <v>81</v>
      </c>
      <c r="C15" s="12">
        <v>38000</v>
      </c>
      <c r="D15" s="12">
        <v>41000</v>
      </c>
      <c r="E15" s="13">
        <f t="shared" si="0"/>
        <v>39500</v>
      </c>
      <c r="F15" s="14">
        <f t="shared" si="1"/>
        <v>1.67698567132496</v>
      </c>
      <c r="G15" s="15">
        <f t="shared" si="2"/>
        <v>7.8947368421052655E-2</v>
      </c>
      <c r="I15" s="16">
        <f>IF(OR($F15="",$F$14=""),0,IF(AND($F15&gt;=1,$F$14&lt;1),1,0))</f>
        <v>0</v>
      </c>
    </row>
    <row r="16" spans="2:9" x14ac:dyDescent="0.2">
      <c r="B16" s="11" t="s">
        <v>82</v>
      </c>
      <c r="C16" s="12">
        <v>41000</v>
      </c>
      <c r="D16" s="12">
        <v>45000</v>
      </c>
      <c r="E16" s="13">
        <f t="shared" si="0"/>
        <v>43000</v>
      </c>
      <c r="F16" s="14">
        <f t="shared" si="1"/>
        <v>1.825579338404387</v>
      </c>
      <c r="G16" s="15">
        <f t="shared" si="2"/>
        <v>9.7560975609756184E-2</v>
      </c>
      <c r="I16" s="16">
        <f>IF(OR($F16="",$F$15=""),0,IF(AND($F16&gt;=1,$F$15&lt;1),1,0))</f>
        <v>0</v>
      </c>
    </row>
    <row r="17" spans="2:9" x14ac:dyDescent="0.2">
      <c r="B17" s="11" t="s">
        <v>83</v>
      </c>
      <c r="C17" s="12">
        <v>33000</v>
      </c>
      <c r="D17" s="12">
        <v>36000</v>
      </c>
      <c r="E17" s="13">
        <f t="shared" si="0"/>
        <v>34500</v>
      </c>
      <c r="F17" s="14">
        <f t="shared" si="1"/>
        <v>1.4647090040686361</v>
      </c>
      <c r="G17" s="15">
        <f t="shared" si="2"/>
        <v>9.0909090909090828E-2</v>
      </c>
      <c r="I17" s="16">
        <f>IF(OR($F17="",$F$16=""),0,IF(AND($F17&gt;=1,$F$16&lt;1),1,0))</f>
        <v>0</v>
      </c>
    </row>
    <row r="18" spans="2:9" x14ac:dyDescent="0.2">
      <c r="B18" s="11" t="s">
        <v>84</v>
      </c>
      <c r="C18" s="12">
        <v>22000</v>
      </c>
      <c r="D18" s="12">
        <v>24000</v>
      </c>
      <c r="E18" s="13">
        <f t="shared" si="0"/>
        <v>23000</v>
      </c>
      <c r="F18" s="14">
        <f t="shared" si="1"/>
        <v>0.97647266937909072</v>
      </c>
      <c r="G18" s="15">
        <f t="shared" si="2"/>
        <v>9.0909090909090828E-2</v>
      </c>
      <c r="I18" s="16">
        <f>IF(OR($F18="",$F$17=""),0,IF(AND($F18&gt;=1,$F$17&lt;1),1,0))</f>
        <v>0</v>
      </c>
    </row>
    <row r="19" spans="2:9" x14ac:dyDescent="0.2">
      <c r="B19" s="11" t="s">
        <v>85</v>
      </c>
      <c r="C19" s="12">
        <v>14000</v>
      </c>
      <c r="D19" s="12">
        <v>15200</v>
      </c>
      <c r="E19" s="13">
        <f t="shared" si="0"/>
        <v>14600</v>
      </c>
      <c r="F19" s="14">
        <f t="shared" si="1"/>
        <v>0.61984786838846628</v>
      </c>
      <c r="G19" s="15">
        <f t="shared" si="2"/>
        <v>8.5714285714285632E-2</v>
      </c>
      <c r="I19" s="16">
        <f>IF(OR($F19="",$F$18=""),0,IF(AND($F19&gt;=1,$F$18&lt;1),1,0))</f>
        <v>0</v>
      </c>
    </row>
    <row r="20" spans="2:9" x14ac:dyDescent="0.2">
      <c r="B20" s="11" t="s">
        <v>86</v>
      </c>
      <c r="C20" s="12">
        <v>9200</v>
      </c>
      <c r="D20" s="12">
        <v>9900</v>
      </c>
      <c r="E20" s="13">
        <f t="shared" si="0"/>
        <v>9550</v>
      </c>
      <c r="F20" s="14">
        <f t="shared" si="1"/>
        <v>0.40544843445957895</v>
      </c>
      <c r="G20" s="15">
        <f t="shared" si="2"/>
        <v>7.6086956521739024E-2</v>
      </c>
      <c r="I20" s="16">
        <f>IF(OR($F20="",$F$19=""),0,IF(AND($F20&gt;=1,$F$19&lt;1),1,0))</f>
        <v>0</v>
      </c>
    </row>
    <row r="21" spans="2:9" x14ac:dyDescent="0.2">
      <c r="B21" s="11" t="s">
        <v>87</v>
      </c>
      <c r="C21" s="12">
        <v>8100</v>
      </c>
      <c r="D21" s="12">
        <v>8600</v>
      </c>
      <c r="E21" s="13">
        <f t="shared" si="0"/>
        <v>8350</v>
      </c>
      <c r="F21" s="14">
        <f t="shared" si="1"/>
        <v>0.35450203431806121</v>
      </c>
      <c r="G21" s="15">
        <f t="shared" si="2"/>
        <v>6.1728395061728447E-2</v>
      </c>
      <c r="I21" s="16">
        <f>IF(OR($F21="",$F$20=""),0,IF(AND($F21&gt;=1,$F$20&lt;1),1,0))</f>
        <v>0</v>
      </c>
    </row>
    <row r="22" spans="2:9" x14ac:dyDescent="0.2">
      <c r="B22" s="5" t="s">
        <v>88</v>
      </c>
      <c r="C22" s="17">
        <f>SUM(C10:C21)</f>
        <v>270600</v>
      </c>
      <c r="D22" s="17">
        <f>SUM(D10:D21)</f>
        <v>294700</v>
      </c>
      <c r="E22" s="17">
        <f>SUM(E10:E21)</f>
        <v>282650</v>
      </c>
      <c r="G22" s="18">
        <f>IF(OR(C22=0,D22=0),"",D22/C22-1)</f>
        <v>8.906134515890618E-2</v>
      </c>
    </row>
    <row r="24" spans="2:9" x14ac:dyDescent="0.2">
      <c r="B24" s="4" t="s">
        <v>89</v>
      </c>
      <c r="C24" s="4"/>
    </row>
    <row r="25" spans="2:9" x14ac:dyDescent="0.2">
      <c r="B25" s="11" t="s">
        <v>90</v>
      </c>
      <c r="C25" s="11" t="str">
        <f>IF(COUNT($F$10:$F$21)=0,"",INDEX($B$10:$B$21,MATCH(MAX($F$10:$F$21),$F$10:$F$21,0)))</f>
        <v>Jul</v>
      </c>
    </row>
    <row r="26" spans="2:9" x14ac:dyDescent="0.2">
      <c r="B26" s="11" t="s">
        <v>91</v>
      </c>
      <c r="C26" s="11" t="str">
        <f>IF(COUNT($F$10:$F$21)=0,"",INDEX($B$10:$B$21,MATCH(MIN($F$10:$F$21),$F$10:$F$21,0)))</f>
        <v>Dec</v>
      </c>
    </row>
    <row r="27" spans="2:9" x14ac:dyDescent="0.2">
      <c r="B27" s="11" t="s">
        <v>92</v>
      </c>
      <c r="C27" s="14">
        <f>IF(COUNT($F$10:$F$21)=0,"",MAX($F$10:$F$21))</f>
        <v>1.825579338404387</v>
      </c>
    </row>
    <row r="28" spans="2:9" x14ac:dyDescent="0.2">
      <c r="B28" s="11" t="s">
        <v>93</v>
      </c>
      <c r="C28" s="14">
        <f>IF(COUNT($F$10:$F$21)=0,"",MIN($F$10:$F$21))</f>
        <v>0.35450203431806121</v>
      </c>
    </row>
    <row r="29" spans="2:9" x14ac:dyDescent="0.2">
      <c r="B29" s="11" t="s">
        <v>94</v>
      </c>
      <c r="C29" s="19">
        <f>IFERROR(MAX($F$10:$F$21)/_xlfn.MINIFS($F$10:$F$21,$F$10:$F$21,"&gt;0"),"")</f>
        <v>5.1497005988023954</v>
      </c>
    </row>
    <row r="30" spans="2:9" x14ac:dyDescent="0.2">
      <c r="B30" s="11" t="s">
        <v>95</v>
      </c>
      <c r="C30" s="15">
        <f>IFERROR((LARGE($E$10:$E$21,1)+LARGE($E$10:$E$21,2)+LARGE($E$10:$E$21,3)+LARGE($E$10:$E$21,4))/SUM($E$10:$E$21),"")</f>
        <v>0.53953652927649032</v>
      </c>
    </row>
    <row r="31" spans="2:9" x14ac:dyDescent="0.2">
      <c r="B31" s="11" t="s">
        <v>96</v>
      </c>
      <c r="C31" s="15">
        <f>IF(OR(C22=0,D22=0),"",D22/C22-1)</f>
        <v>8.906134515890618E-2</v>
      </c>
    </row>
    <row r="32" spans="2:9" x14ac:dyDescent="0.2">
      <c r="B32" s="11" t="s">
        <v>97</v>
      </c>
      <c r="C32" s="20">
        <f>COUNT($E$10:$E$21)</f>
        <v>12</v>
      </c>
    </row>
    <row r="33" spans="2:3" x14ac:dyDescent="0.2">
      <c r="B33" s="5" t="s">
        <v>98</v>
      </c>
      <c r="C33" s="5" t="str">
        <f>IF(C32&lt;12,"Fill all 12 months before trusting the verdict.",IF(COUNTIF($E$10:$E$21,0)&gt;0,"A zero-demand month: extreme single-season. Avoid as a first product.",IF(C29&lt;1.5,"Flat demand. Order timing is not critical.",IF(C29&lt;2.5,"Moderate seasonality. Time the order, but sales run all year.",IF(C29&lt;4,"Strong seasonality. Stock must land 4 weeks before the ramp; exit the peak with low inventory.","Single-season product. A working-capital trap for a first product.")))))</f>
        <v>Single-season product. A working-capital trap for a first product.</v>
      </c>
    </row>
    <row r="34" spans="2:3" x14ac:dyDescent="0.2">
      <c r="B34" s="11" t="s">
        <v>99</v>
      </c>
      <c r="C34" s="5" t="str">
        <f>IFERROR(INDEX($B$10:$B$21,MATCH(1,$I$10:$I$21,0)),"—")</f>
        <v>Apr</v>
      </c>
    </row>
    <row r="35" spans="2:3" x14ac:dyDescent="0.2">
      <c r="B35" s="5" t="s">
        <v>100</v>
      </c>
      <c r="C35" s="5" t="str">
        <f>IF(C31="","Fill both years first.",IF(C31&gt;0.05,"GROWING (&gt;+5%). Tailwind. Check it is not one viral ASIN: in Xray, is page-1 revenue spread across many listings?",IF(C31&gt;=-0.05,"FLAT (-5%..+5%). Fine for entry - you win by taking share, not riding the tide.",IF(C31&gt;=-0.15,"COOLING (-5%..-15%). Google Trends, DE, 5 years: post-boom plateau = acceptable; steady multi-year slide = drop.","DECLINING (&lt;-15%). Fails the demand test - drop unless Trends shows a clearly temporary dip."))))</f>
        <v>GROWING (&gt;+5%). Tailwind. Check it is not one viral ASIN: in Xray, is page-1 revenue spread across many listings?</v>
      </c>
    </row>
    <row r="36" spans="2:3" ht="39" x14ac:dyDescent="0.2">
      <c r="B36" s="3" t="s">
        <v>101</v>
      </c>
    </row>
    <row r="37" spans="2:3" ht="39" x14ac:dyDescent="0.2">
      <c r="B37" s="3" t="s">
        <v>102</v>
      </c>
    </row>
    <row r="38" spans="2:3" ht="39" x14ac:dyDescent="0.2">
      <c r="B38" s="3" t="s">
        <v>103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B1:E23"/>
  <sheetViews>
    <sheetView workbookViewId="0"/>
  </sheetViews>
  <sheetFormatPr baseColWidth="10" defaultColWidth="8.83203125" defaultRowHeight="15" x14ac:dyDescent="0.2"/>
  <cols>
    <col min="1" max="1" width="2" customWidth="1"/>
    <col min="2" max="2" width="52" customWidth="1"/>
    <col min="3" max="3" width="14" customWidth="1"/>
    <col min="4" max="4" width="2" customWidth="1"/>
    <col min="5" max="5" width="62" customWidth="1"/>
  </cols>
  <sheetData>
    <row r="1" spans="2:5" x14ac:dyDescent="0.2">
      <c r="B1" s="6" t="str">
        <f>HYPERLINK("#Start!B2","← Start")</f>
        <v>← Start</v>
      </c>
    </row>
    <row r="2" spans="2:5" ht="16" x14ac:dyDescent="0.2">
      <c r="B2" s="1" t="s">
        <v>104</v>
      </c>
    </row>
    <row r="3" spans="2:5" x14ac:dyDescent="0.2">
      <c r="B3" s="11" t="s">
        <v>105</v>
      </c>
    </row>
    <row r="5" spans="2:5" x14ac:dyDescent="0.2">
      <c r="B5" s="11" t="s">
        <v>106</v>
      </c>
      <c r="C5" s="7" t="str">
        <f>'1 Seasonality'!C34</f>
        <v>Apr</v>
      </c>
    </row>
    <row r="6" spans="2:5" x14ac:dyDescent="0.2">
      <c r="B6" s="11" t="s">
        <v>107</v>
      </c>
      <c r="C6" s="21">
        <f ca="1">IFERROR(DATE(YEAR(TODAY())+IF(DATE(YEAR(TODAY()),MATCH($C$5,'1 Seasonality'!$B$10:$B$21,0),1)-28&lt;=TODAY(),1,0),MATCH($C$5,'1 Seasonality'!$B$10:$B$21,0),1)-28,"fill Sheet 1 first")</f>
        <v>46450</v>
      </c>
    </row>
    <row r="7" spans="2:5" ht="26" x14ac:dyDescent="0.2">
      <c r="B7" s="11" t="s">
        <v>108</v>
      </c>
      <c r="C7" s="10">
        <v>46450</v>
      </c>
      <c r="E7" s="3" t="s">
        <v>109</v>
      </c>
    </row>
    <row r="9" spans="2:5" x14ac:dyDescent="0.2">
      <c r="B9" s="4" t="s">
        <v>110</v>
      </c>
      <c r="C9" s="4" t="s">
        <v>111</v>
      </c>
    </row>
    <row r="10" spans="2:5" x14ac:dyDescent="0.2">
      <c r="B10" s="2" t="s">
        <v>112</v>
      </c>
      <c r="C10" s="22">
        <v>0</v>
      </c>
      <c r="E10" s="3" t="s">
        <v>113</v>
      </c>
    </row>
    <row r="11" spans="2:5" x14ac:dyDescent="0.2">
      <c r="B11" s="2" t="s">
        <v>114</v>
      </c>
      <c r="C11" s="22">
        <v>21</v>
      </c>
      <c r="E11" s="3" t="s">
        <v>115</v>
      </c>
    </row>
    <row r="12" spans="2:5" x14ac:dyDescent="0.2">
      <c r="B12" s="2" t="s">
        <v>116</v>
      </c>
      <c r="C12" s="22">
        <v>40</v>
      </c>
      <c r="E12" s="3" t="s">
        <v>117</v>
      </c>
    </row>
    <row r="13" spans="2:5" x14ac:dyDescent="0.2">
      <c r="B13" s="2" t="s">
        <v>118</v>
      </c>
      <c r="C13" s="22">
        <v>0</v>
      </c>
      <c r="E13" s="3" t="s">
        <v>119</v>
      </c>
    </row>
    <row r="14" spans="2:5" x14ac:dyDescent="0.2">
      <c r="B14" s="2" t="s">
        <v>120</v>
      </c>
      <c r="C14" s="22">
        <v>40</v>
      </c>
      <c r="E14" s="3" t="s">
        <v>121</v>
      </c>
    </row>
    <row r="15" spans="2:5" ht="26" x14ac:dyDescent="0.2">
      <c r="B15" s="2" t="s">
        <v>122</v>
      </c>
      <c r="C15" s="22">
        <v>5</v>
      </c>
      <c r="E15" s="3" t="s">
        <v>123</v>
      </c>
    </row>
    <row r="16" spans="2:5" x14ac:dyDescent="0.2">
      <c r="B16" s="2" t="s">
        <v>124</v>
      </c>
      <c r="C16" s="22">
        <v>10</v>
      </c>
      <c r="E16" s="3" t="s">
        <v>125</v>
      </c>
    </row>
    <row r="17" spans="2:5" x14ac:dyDescent="0.2">
      <c r="B17" s="2" t="s">
        <v>126</v>
      </c>
      <c r="C17" s="22">
        <v>15</v>
      </c>
      <c r="E17" s="3" t="s">
        <v>127</v>
      </c>
    </row>
    <row r="18" spans="2:5" x14ac:dyDescent="0.2">
      <c r="B18" s="5" t="s">
        <v>128</v>
      </c>
      <c r="C18" s="23">
        <f>SUM(C10:C17)</f>
        <v>131</v>
      </c>
    </row>
    <row r="20" spans="2:5" x14ac:dyDescent="0.2">
      <c r="B20" s="5" t="s">
        <v>129</v>
      </c>
      <c r="C20" s="24">
        <f>C7-C18</f>
        <v>46319</v>
      </c>
    </row>
    <row r="21" spans="2:5" x14ac:dyDescent="0.2">
      <c r="B21" s="5" t="s">
        <v>130</v>
      </c>
      <c r="C21" s="23">
        <f ca="1">C7-C18-TODAY()</f>
        <v>38</v>
      </c>
    </row>
    <row r="23" spans="2:5" ht="26" x14ac:dyDescent="0.2">
      <c r="B23" s="3" t="s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B1:E51"/>
  <sheetViews>
    <sheetView workbookViewId="0"/>
  </sheetViews>
  <sheetFormatPr baseColWidth="10" defaultColWidth="8.83203125" defaultRowHeight="15" x14ac:dyDescent="0.2"/>
  <cols>
    <col min="1" max="1" width="2" customWidth="1"/>
    <col min="2" max="2" width="46" customWidth="1"/>
    <col min="3" max="3" width="13" customWidth="1"/>
    <col min="4" max="4" width="2" customWidth="1"/>
    <col min="5" max="5" width="66" customWidth="1"/>
  </cols>
  <sheetData>
    <row r="1" spans="2:5" x14ac:dyDescent="0.2">
      <c r="B1" s="6" t="str">
        <f>HYPERLINK("#Start!B2","← Start")</f>
        <v>← Start</v>
      </c>
    </row>
    <row r="2" spans="2:5" ht="16" x14ac:dyDescent="0.2">
      <c r="B2" s="1" t="s">
        <v>132</v>
      </c>
    </row>
    <row r="3" spans="2:5" ht="42" x14ac:dyDescent="0.2">
      <c r="B3" s="2" t="s">
        <v>133</v>
      </c>
    </row>
    <row r="5" spans="2:5" x14ac:dyDescent="0.2">
      <c r="B5" s="4" t="s">
        <v>134</v>
      </c>
      <c r="C5" s="4"/>
    </row>
    <row r="6" spans="2:5" x14ac:dyDescent="0.2">
      <c r="B6" s="11" t="s">
        <v>135</v>
      </c>
      <c r="C6" s="25">
        <v>59.99</v>
      </c>
      <c r="E6" s="3" t="s">
        <v>136</v>
      </c>
    </row>
    <row r="7" spans="2:5" x14ac:dyDescent="0.2">
      <c r="B7" s="11" t="s">
        <v>137</v>
      </c>
      <c r="C7" s="26">
        <v>0.19</v>
      </c>
      <c r="E7" s="3" t="s">
        <v>138</v>
      </c>
    </row>
    <row r="8" spans="2:5" x14ac:dyDescent="0.2">
      <c r="B8" s="11" t="s">
        <v>139</v>
      </c>
      <c r="C8" s="26">
        <v>0.15</v>
      </c>
      <c r="E8" s="3" t="s">
        <v>140</v>
      </c>
    </row>
    <row r="9" spans="2:5" x14ac:dyDescent="0.2">
      <c r="B9" s="11" t="s">
        <v>141</v>
      </c>
      <c r="C9" s="22">
        <v>1</v>
      </c>
      <c r="E9" s="3" t="s">
        <v>142</v>
      </c>
    </row>
    <row r="10" spans="2:5" x14ac:dyDescent="0.2">
      <c r="B10" s="11" t="s">
        <v>143</v>
      </c>
      <c r="C10" s="25">
        <v>4.55</v>
      </c>
      <c r="E10" s="3" t="s">
        <v>144</v>
      </c>
    </row>
    <row r="11" spans="2:5" x14ac:dyDescent="0.2">
      <c r="B11" s="11" t="s">
        <v>145</v>
      </c>
      <c r="C11" s="25">
        <v>0.62</v>
      </c>
      <c r="E11" s="3" t="s">
        <v>146</v>
      </c>
    </row>
    <row r="12" spans="2:5" x14ac:dyDescent="0.2">
      <c r="B12" s="11" t="s">
        <v>147</v>
      </c>
      <c r="C12" s="26">
        <v>7.0000000000000007E-2</v>
      </c>
      <c r="E12" s="3" t="s">
        <v>148</v>
      </c>
    </row>
    <row r="13" spans="2:5" x14ac:dyDescent="0.2">
      <c r="B13" s="11" t="s">
        <v>149</v>
      </c>
      <c r="C13" s="26">
        <v>0.7</v>
      </c>
      <c r="E13" s="3" t="s">
        <v>150</v>
      </c>
    </row>
    <row r="14" spans="2:5" x14ac:dyDescent="0.2">
      <c r="B14" s="11" t="s">
        <v>151</v>
      </c>
      <c r="C14" s="25">
        <v>10</v>
      </c>
      <c r="E14" s="3" t="s">
        <v>152</v>
      </c>
    </row>
    <row r="15" spans="2:5" x14ac:dyDescent="0.2">
      <c r="B15" s="11" t="s">
        <v>153</v>
      </c>
      <c r="C15" s="25">
        <v>2.2000000000000002</v>
      </c>
      <c r="E15" s="3" t="s">
        <v>154</v>
      </c>
    </row>
    <row r="16" spans="2:5" x14ac:dyDescent="0.2">
      <c r="B16" s="11" t="s">
        <v>155</v>
      </c>
      <c r="C16" s="26">
        <v>2.7E-2</v>
      </c>
      <c r="E16" s="3" t="s">
        <v>156</v>
      </c>
    </row>
    <row r="17" spans="2:5" x14ac:dyDescent="0.2">
      <c r="B17" s="11" t="s">
        <v>157</v>
      </c>
      <c r="C17" s="25">
        <v>0.4</v>
      </c>
      <c r="E17" s="3" t="s">
        <v>158</v>
      </c>
    </row>
    <row r="18" spans="2:5" x14ac:dyDescent="0.2">
      <c r="B18" s="11" t="s">
        <v>159</v>
      </c>
      <c r="C18" s="26">
        <v>0.01</v>
      </c>
      <c r="E18" s="3" t="s">
        <v>160</v>
      </c>
    </row>
    <row r="20" spans="2:5" x14ac:dyDescent="0.2">
      <c r="B20" s="4" t="s">
        <v>161</v>
      </c>
      <c r="C20" s="4"/>
    </row>
    <row r="21" spans="2:5" x14ac:dyDescent="0.2">
      <c r="B21" s="11" t="s">
        <v>162</v>
      </c>
      <c r="C21" s="27">
        <f>C6/(1+C7)</f>
        <v>50.411764705882355</v>
      </c>
    </row>
    <row r="22" spans="2:5" x14ac:dyDescent="0.2">
      <c r="B22" s="11" t="s">
        <v>163</v>
      </c>
      <c r="C22" s="27">
        <f>-IF(C9=1,C6*C8,C21*C8)</f>
        <v>-8.9984999999999999</v>
      </c>
    </row>
    <row r="23" spans="2:5" x14ac:dyDescent="0.2">
      <c r="B23" s="11" t="s">
        <v>164</v>
      </c>
      <c r="C23" s="27">
        <f>-C10</f>
        <v>-4.55</v>
      </c>
    </row>
    <row r="24" spans="2:5" x14ac:dyDescent="0.2">
      <c r="B24" s="11" t="s">
        <v>165</v>
      </c>
      <c r="C24" s="27">
        <f>-C11</f>
        <v>-0.62</v>
      </c>
    </row>
    <row r="25" spans="2:5" x14ac:dyDescent="0.2">
      <c r="B25" s="11" t="s">
        <v>166</v>
      </c>
      <c r="C25" s="27">
        <f>-C12*C13*C21</f>
        <v>-2.4701764705882354</v>
      </c>
    </row>
    <row r="26" spans="2:5" x14ac:dyDescent="0.2">
      <c r="B26" s="5" t="s">
        <v>167</v>
      </c>
      <c r="C26" s="28">
        <f>SUM(C21:C25)</f>
        <v>33.773088235294125</v>
      </c>
      <c r="E26" s="3" t="s">
        <v>168</v>
      </c>
    </row>
    <row r="27" spans="2:5" x14ac:dyDescent="0.2">
      <c r="B27" s="11" t="s">
        <v>169</v>
      </c>
      <c r="C27" s="27">
        <f>-(C14+C15+(C14+C15)*C16+C17)</f>
        <v>-12.929399999999999</v>
      </c>
      <c r="E27" s="3" t="s">
        <v>170</v>
      </c>
    </row>
    <row r="28" spans="2:5" x14ac:dyDescent="0.2">
      <c r="B28" s="11" t="s">
        <v>171</v>
      </c>
      <c r="C28" s="27">
        <f>-C18*C21</f>
        <v>-0.50411764705882356</v>
      </c>
    </row>
    <row r="29" spans="2:5" x14ac:dyDescent="0.2">
      <c r="B29" s="5" t="s">
        <v>172</v>
      </c>
      <c r="C29" s="28">
        <f>C26+C27+C28</f>
        <v>20.339570588235301</v>
      </c>
    </row>
    <row r="30" spans="2:5" x14ac:dyDescent="0.2">
      <c r="B30" s="11" t="s">
        <v>173</v>
      </c>
      <c r="C30" s="15">
        <f>IFERROR(C29/C21,"")</f>
        <v>0.40346872812135365</v>
      </c>
      <c r="E30" s="3" t="s">
        <v>174</v>
      </c>
    </row>
    <row r="31" spans="2:5" x14ac:dyDescent="0.2">
      <c r="B31" s="11" t="s">
        <v>175</v>
      </c>
      <c r="C31" s="15">
        <f>IFERROR(C29/C6,"")</f>
        <v>0.3390493513624821</v>
      </c>
      <c r="E31" s="3" t="s">
        <v>176</v>
      </c>
    </row>
    <row r="32" spans="2:5" x14ac:dyDescent="0.2">
      <c r="B32" s="11" t="s">
        <v>177</v>
      </c>
      <c r="C32" s="27">
        <f>C26+C28-0.35*C21</f>
        <v>15.624852941176474</v>
      </c>
    </row>
    <row r="33" spans="2:5" x14ac:dyDescent="0.2">
      <c r="B33" s="11" t="s">
        <v>178</v>
      </c>
      <c r="C33" s="27">
        <f>(C32-C17-C15*(1+C16))/(1+C16)</f>
        <v>12.624589037172809</v>
      </c>
      <c r="E33" s="3" t="s">
        <v>179</v>
      </c>
    </row>
    <row r="34" spans="2:5" ht="39" x14ac:dyDescent="0.2">
      <c r="B34" s="11" t="s">
        <v>180</v>
      </c>
      <c r="C34" s="26">
        <v>0.3</v>
      </c>
      <c r="E34" s="3" t="s">
        <v>181</v>
      </c>
    </row>
    <row r="35" spans="2:5" x14ac:dyDescent="0.2">
      <c r="B35" s="11" t="s">
        <v>182</v>
      </c>
      <c r="C35" s="27">
        <f>C29*(1-C34)</f>
        <v>14.237699411764709</v>
      </c>
    </row>
    <row r="36" spans="2:5" ht="39" x14ac:dyDescent="0.2">
      <c r="B36" s="5" t="s">
        <v>183</v>
      </c>
      <c r="C36" s="28">
        <f>IFERROR((C10+C11-C27)/((1-C12*C13-C18-0.35)/(1+C7)-IF(C9=1,C8,C8/(1+C7))),"")</f>
        <v>52.214026666666669</v>
      </c>
      <c r="E36" s="3" t="s">
        <v>184</v>
      </c>
    </row>
    <row r="37" spans="2:5" x14ac:dyDescent="0.2">
      <c r="B37" s="11" t="s">
        <v>185</v>
      </c>
      <c r="C37" s="27">
        <f>IFERROR((C10+C11-C27)/((1-C12*C13-C18-0.3)/(1+C7)-IF(C9=1,C8,C8/(1+C7))),"")</f>
        <v>46.569267027027017</v>
      </c>
    </row>
    <row r="38" spans="2:5" x14ac:dyDescent="0.2">
      <c r="B38" s="11" t="s">
        <v>186</v>
      </c>
      <c r="C38" s="27">
        <f>((C26+C28-0.3*C21)-C17-C15*(1+C16))/(1+C16)</f>
        <v>15.078910590526382</v>
      </c>
    </row>
    <row r="40" spans="2:5" ht="39" x14ac:dyDescent="0.2">
      <c r="B40" s="3" t="s">
        <v>187</v>
      </c>
    </row>
    <row r="41" spans="2:5" ht="26" x14ac:dyDescent="0.2">
      <c r="B41" s="3" t="s">
        <v>188</v>
      </c>
    </row>
    <row r="43" spans="2:5" x14ac:dyDescent="0.2">
      <c r="B43" s="4" t="s">
        <v>189</v>
      </c>
      <c r="C43" s="4"/>
    </row>
    <row r="44" spans="2:5" x14ac:dyDescent="0.2">
      <c r="B44" s="11" t="s">
        <v>190</v>
      </c>
      <c r="C44" s="22">
        <v>300</v>
      </c>
    </row>
    <row r="45" spans="2:5" x14ac:dyDescent="0.2">
      <c r="B45" s="11" t="s">
        <v>191</v>
      </c>
      <c r="C45" s="27">
        <f>C14*C44</f>
        <v>3000</v>
      </c>
    </row>
    <row r="46" spans="2:5" x14ac:dyDescent="0.2">
      <c r="B46" s="11" t="s">
        <v>192</v>
      </c>
      <c r="C46" s="27">
        <f>0.3*C45</f>
        <v>900</v>
      </c>
    </row>
    <row r="47" spans="2:5" x14ac:dyDescent="0.2">
      <c r="B47" s="11" t="s">
        <v>193</v>
      </c>
      <c r="C47" s="27">
        <f>0.7*C45</f>
        <v>2100</v>
      </c>
    </row>
    <row r="48" spans="2:5" x14ac:dyDescent="0.2">
      <c r="B48" s="11" t="s">
        <v>194</v>
      </c>
      <c r="C48" s="27">
        <f>-C27*C44</f>
        <v>3878.8199999999997</v>
      </c>
    </row>
    <row r="49" spans="2:5" ht="26" x14ac:dyDescent="0.2">
      <c r="B49" s="11" t="s">
        <v>195</v>
      </c>
      <c r="C49" s="27">
        <f>0.19*(C14+C15)*(1+C16)*C44</f>
        <v>714.17579999999987</v>
      </c>
      <c r="E49" s="3" t="s">
        <v>196</v>
      </c>
    </row>
    <row r="50" spans="2:5" x14ac:dyDescent="0.2">
      <c r="B50" s="5" t="s">
        <v>197</v>
      </c>
      <c r="C50" s="28">
        <f>C29*C44</f>
        <v>6101.8711764705904</v>
      </c>
    </row>
    <row r="51" spans="2:5" x14ac:dyDescent="0.2">
      <c r="B51" s="11" t="s">
        <v>198</v>
      </c>
      <c r="C51" s="27">
        <f>C35*C44</f>
        <v>4271.3098235294128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B1:E46"/>
  <sheetViews>
    <sheetView workbookViewId="0"/>
  </sheetViews>
  <sheetFormatPr baseColWidth="10" defaultColWidth="8.83203125" defaultRowHeight="15" x14ac:dyDescent="0.2"/>
  <cols>
    <col min="1" max="1" width="2" customWidth="1"/>
    <col min="2" max="2" width="62" customWidth="1"/>
    <col min="3" max="3" width="10" customWidth="1"/>
    <col min="4" max="4" width="2" customWidth="1"/>
    <col min="5" max="5" width="62" customWidth="1"/>
  </cols>
  <sheetData>
    <row r="1" spans="2:5" x14ac:dyDescent="0.2">
      <c r="B1" s="6" t="str">
        <f>HYPERLINK("#Start!B2","← Start")</f>
        <v>← Start</v>
      </c>
    </row>
    <row r="2" spans="2:5" ht="16" x14ac:dyDescent="0.2">
      <c r="B2" s="1" t="s">
        <v>199</v>
      </c>
    </row>
    <row r="4" spans="2:5" x14ac:dyDescent="0.2">
      <c r="B4" s="4" t="s">
        <v>200</v>
      </c>
      <c r="C4" s="4" t="s">
        <v>201</v>
      </c>
    </row>
    <row r="5" spans="2:5" x14ac:dyDescent="0.2">
      <c r="B5" s="2" t="s">
        <v>202</v>
      </c>
      <c r="C5" s="9" t="s">
        <v>203</v>
      </c>
      <c r="E5" s="3" t="s">
        <v>204</v>
      </c>
    </row>
    <row r="6" spans="2:5" x14ac:dyDescent="0.2">
      <c r="B6" s="2" t="s">
        <v>205</v>
      </c>
      <c r="C6" s="9" t="s">
        <v>203</v>
      </c>
      <c r="E6" s="3" t="s">
        <v>206</v>
      </c>
    </row>
    <row r="7" spans="2:5" x14ac:dyDescent="0.2">
      <c r="B7" s="2" t="s">
        <v>207</v>
      </c>
      <c r="C7" s="9" t="s">
        <v>203</v>
      </c>
      <c r="E7" s="3" t="s">
        <v>208</v>
      </c>
    </row>
    <row r="8" spans="2:5" x14ac:dyDescent="0.2">
      <c r="B8" s="2" t="s">
        <v>209</v>
      </c>
      <c r="C8" s="9" t="s">
        <v>203</v>
      </c>
      <c r="E8" s="3" t="s">
        <v>210</v>
      </c>
    </row>
    <row r="9" spans="2:5" x14ac:dyDescent="0.2">
      <c r="B9" s="2" t="s">
        <v>211</v>
      </c>
      <c r="C9" s="9" t="s">
        <v>203</v>
      </c>
      <c r="E9" s="3" t="s">
        <v>212</v>
      </c>
    </row>
    <row r="10" spans="2:5" x14ac:dyDescent="0.2">
      <c r="B10" s="2" t="s">
        <v>213</v>
      </c>
      <c r="C10" s="9" t="s">
        <v>203</v>
      </c>
      <c r="E10" s="3" t="s">
        <v>214</v>
      </c>
    </row>
    <row r="11" spans="2:5" ht="26" x14ac:dyDescent="0.2">
      <c r="B11" s="2" t="s">
        <v>215</v>
      </c>
      <c r="C11" s="9" t="s">
        <v>203</v>
      </c>
      <c r="E11" s="3" t="s">
        <v>216</v>
      </c>
    </row>
    <row r="12" spans="2:5" x14ac:dyDescent="0.2">
      <c r="B12" s="2" t="s">
        <v>217</v>
      </c>
      <c r="C12" s="9" t="s">
        <v>203</v>
      </c>
      <c r="E12" s="3" t="s">
        <v>218</v>
      </c>
    </row>
    <row r="13" spans="2:5" x14ac:dyDescent="0.2">
      <c r="B13" s="2" t="s">
        <v>219</v>
      </c>
      <c r="C13" s="9" t="s">
        <v>203</v>
      </c>
      <c r="E13" s="3" t="s">
        <v>220</v>
      </c>
    </row>
    <row r="15" spans="2:5" x14ac:dyDescent="0.2">
      <c r="B15" s="4" t="s">
        <v>221</v>
      </c>
      <c r="C15" s="4" t="s">
        <v>201</v>
      </c>
    </row>
    <row r="16" spans="2:5" x14ac:dyDescent="0.2">
      <c r="B16" s="2" t="s">
        <v>222</v>
      </c>
      <c r="C16" s="9" t="s">
        <v>203</v>
      </c>
      <c r="E16" s="3" t="s">
        <v>223</v>
      </c>
    </row>
    <row r="17" spans="2:5" x14ac:dyDescent="0.2">
      <c r="B17" s="2" t="s">
        <v>224</v>
      </c>
      <c r="C17" s="9" t="s">
        <v>203</v>
      </c>
      <c r="E17" s="3" t="s">
        <v>225</v>
      </c>
    </row>
    <row r="18" spans="2:5" x14ac:dyDescent="0.2">
      <c r="B18" s="2" t="s">
        <v>226</v>
      </c>
      <c r="C18" s="9" t="s">
        <v>203</v>
      </c>
      <c r="E18" s="3" t="s">
        <v>227</v>
      </c>
    </row>
    <row r="19" spans="2:5" x14ac:dyDescent="0.2">
      <c r="B19" s="2" t="s">
        <v>228</v>
      </c>
      <c r="C19" s="9" t="s">
        <v>203</v>
      </c>
      <c r="E19" s="3" t="s">
        <v>229</v>
      </c>
    </row>
    <row r="20" spans="2:5" x14ac:dyDescent="0.2">
      <c r="B20" s="2" t="s">
        <v>230</v>
      </c>
      <c r="C20" s="9" t="s">
        <v>203</v>
      </c>
    </row>
    <row r="21" spans="2:5" x14ac:dyDescent="0.2">
      <c r="B21" s="2" t="s">
        <v>231</v>
      </c>
      <c r="C21" s="9" t="s">
        <v>203</v>
      </c>
    </row>
    <row r="22" spans="2:5" x14ac:dyDescent="0.2">
      <c r="B22" s="2" t="s">
        <v>232</v>
      </c>
      <c r="C22" s="9" t="s">
        <v>203</v>
      </c>
      <c r="E22" s="3" t="s">
        <v>233</v>
      </c>
    </row>
    <row r="23" spans="2:5" x14ac:dyDescent="0.2">
      <c r="B23" s="2" t="s">
        <v>234</v>
      </c>
      <c r="C23" s="9" t="s">
        <v>203</v>
      </c>
      <c r="E23" s="3" t="s">
        <v>235</v>
      </c>
    </row>
    <row r="25" spans="2:5" x14ac:dyDescent="0.2">
      <c r="B25" s="4" t="s">
        <v>236</v>
      </c>
      <c r="C25" s="4" t="s">
        <v>201</v>
      </c>
    </row>
    <row r="26" spans="2:5" x14ac:dyDescent="0.2">
      <c r="B26" s="2" t="s">
        <v>237</v>
      </c>
      <c r="C26" s="9" t="s">
        <v>203</v>
      </c>
      <c r="E26" s="3" t="s">
        <v>238</v>
      </c>
    </row>
    <row r="27" spans="2:5" x14ac:dyDescent="0.2">
      <c r="B27" s="2" t="s">
        <v>239</v>
      </c>
      <c r="C27" s="9" t="s">
        <v>203</v>
      </c>
    </row>
    <row r="28" spans="2:5" x14ac:dyDescent="0.2">
      <c r="B28" s="2" t="s">
        <v>240</v>
      </c>
      <c r="C28" s="9" t="s">
        <v>203</v>
      </c>
      <c r="E28" s="3" t="s">
        <v>241</v>
      </c>
    </row>
    <row r="29" spans="2:5" x14ac:dyDescent="0.2">
      <c r="B29" s="2" t="s">
        <v>242</v>
      </c>
      <c r="C29" s="9" t="s">
        <v>203</v>
      </c>
      <c r="E29" s="3" t="s">
        <v>243</v>
      </c>
    </row>
    <row r="30" spans="2:5" x14ac:dyDescent="0.2">
      <c r="B30" s="2" t="s">
        <v>244</v>
      </c>
      <c r="C30" s="9" t="s">
        <v>203</v>
      </c>
      <c r="E30" s="3" t="s">
        <v>245</v>
      </c>
    </row>
    <row r="32" spans="2:5" x14ac:dyDescent="0.2">
      <c r="B32" s="5" t="s">
        <v>246</v>
      </c>
      <c r="C32" s="5" t="str">
        <f>IF(COUNTIF(C5:C13,"YES")=9,"CLEAN","REJECT")</f>
        <v>CLEAN</v>
      </c>
    </row>
    <row r="33" spans="2:5" x14ac:dyDescent="0.2">
      <c r="B33" s="5" t="s">
        <v>247</v>
      </c>
      <c r="C33" s="5" t="str">
        <f>COUNTIF(C16:C23,"YES")&amp;" / 8"</f>
        <v>8 / 8</v>
      </c>
    </row>
    <row r="34" spans="2:5" x14ac:dyDescent="0.2">
      <c r="B34" s="5" t="s">
        <v>248</v>
      </c>
      <c r="C34" s="5" t="str">
        <f>COUNTIF(C26:C30,"YES")&amp;" / 5"</f>
        <v>5 / 5</v>
      </c>
    </row>
    <row r="36" spans="2:5" x14ac:dyDescent="0.2">
      <c r="B36" s="3" t="s">
        <v>249</v>
      </c>
    </row>
    <row r="38" spans="2:5" x14ac:dyDescent="0.2">
      <c r="B38" s="4" t="s">
        <v>250</v>
      </c>
      <c r="C38" s="4"/>
    </row>
    <row r="39" spans="2:5" ht="26" x14ac:dyDescent="0.2">
      <c r="B39" s="11" t="s">
        <v>251</v>
      </c>
      <c r="C39" s="22">
        <v>75</v>
      </c>
      <c r="E39" s="3" t="s">
        <v>252</v>
      </c>
    </row>
    <row r="40" spans="2:5" x14ac:dyDescent="0.2">
      <c r="B40" s="11" t="s">
        <v>253</v>
      </c>
      <c r="C40" s="22">
        <v>300</v>
      </c>
    </row>
    <row r="41" spans="2:5" ht="26" x14ac:dyDescent="0.2">
      <c r="B41" s="11" t="s">
        <v>254</v>
      </c>
      <c r="C41" s="26">
        <v>1.4999999999999999E-2</v>
      </c>
      <c r="E41" s="3" t="s">
        <v>255</v>
      </c>
    </row>
    <row r="42" spans="2:5" x14ac:dyDescent="0.2">
      <c r="B42" s="11" t="s">
        <v>256</v>
      </c>
      <c r="C42" s="29">
        <f>IFERROR(C40*C41,"")</f>
        <v>4.5</v>
      </c>
    </row>
    <row r="43" spans="2:5" x14ac:dyDescent="0.2">
      <c r="B43" s="5" t="s">
        <v>257</v>
      </c>
      <c r="C43" s="30">
        <f>IFERROR(C39/C42,"")</f>
        <v>16.666666666666668</v>
      </c>
    </row>
    <row r="44" spans="2:5" x14ac:dyDescent="0.2">
      <c r="B44" s="5" t="str">
        <f>IF(C43="","",IF(C43&lt;=6,"OK — the wall is reachable within ~6 months.",IF(C43&lt;=12,"CAUTION — about a year of grinding at a review deficit; budget PPC above target ACOS for that long.","FLAG — over a year behind on social proof. You need Vine + a real differentiation angle (Sheet 11), or a lower-wall niche.")))</f>
        <v>FLAG — over a year behind on social proof. You need Vine + a real differentiation angle (Sheet 11), or a lower-wall niche.</v>
      </c>
    </row>
    <row r="46" spans="2:5" ht="78" x14ac:dyDescent="0.2">
      <c r="B46" s="3" t="s">
        <v>258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B1:K37"/>
  <sheetViews>
    <sheetView workbookViewId="0"/>
  </sheetViews>
  <sheetFormatPr baseColWidth="10" defaultColWidth="8.83203125" defaultRowHeight="15" x14ac:dyDescent="0.2"/>
  <cols>
    <col min="1" max="1" width="2" customWidth="1"/>
    <col min="2" max="2" width="48" customWidth="1"/>
    <col min="3" max="11" width="14" customWidth="1"/>
  </cols>
  <sheetData>
    <row r="1" spans="2:11" x14ac:dyDescent="0.2">
      <c r="B1" s="6" t="str">
        <f>HYPERLINK("#Start!B2","← Start")</f>
        <v>← Start</v>
      </c>
    </row>
    <row r="2" spans="2:11" ht="16" x14ac:dyDescent="0.2">
      <c r="B2" s="1" t="s">
        <v>259</v>
      </c>
    </row>
    <row r="3" spans="2:11" ht="42" x14ac:dyDescent="0.2">
      <c r="B3" s="2" t="s">
        <v>260</v>
      </c>
    </row>
    <row r="4" spans="2:11" x14ac:dyDescent="0.2">
      <c r="B4" s="11" t="s">
        <v>261</v>
      </c>
      <c r="C4" s="25">
        <v>6500</v>
      </c>
    </row>
    <row r="5" spans="2:11" x14ac:dyDescent="0.2">
      <c r="B5" s="4" t="s">
        <v>134</v>
      </c>
      <c r="C5" s="4" t="s">
        <v>262</v>
      </c>
      <c r="D5" s="4" t="s">
        <v>263</v>
      </c>
      <c r="E5" s="4" t="s">
        <v>264</v>
      </c>
      <c r="F5" s="4" t="s">
        <v>265</v>
      </c>
      <c r="G5" s="4" t="s">
        <v>266</v>
      </c>
      <c r="H5" s="4" t="s">
        <v>267</v>
      </c>
      <c r="I5" s="4" t="s">
        <v>268</v>
      </c>
      <c r="J5" s="4" t="s">
        <v>269</v>
      </c>
      <c r="K5" s="4" t="s">
        <v>270</v>
      </c>
    </row>
    <row r="6" spans="2:11" x14ac:dyDescent="0.2">
      <c r="B6" s="2" t="s">
        <v>271</v>
      </c>
      <c r="C6" s="3" t="s">
        <v>272</v>
      </c>
      <c r="D6" s="9" t="s">
        <v>61</v>
      </c>
      <c r="E6" s="9"/>
      <c r="F6" s="9"/>
      <c r="G6" s="9"/>
      <c r="H6" s="9"/>
      <c r="I6" s="9"/>
      <c r="J6" s="9"/>
      <c r="K6" s="9"/>
    </row>
    <row r="7" spans="2:11" x14ac:dyDescent="0.2">
      <c r="B7" s="2" t="s">
        <v>273</v>
      </c>
      <c r="C7" s="3" t="s">
        <v>274</v>
      </c>
      <c r="D7" s="12">
        <v>23500</v>
      </c>
      <c r="E7" s="12"/>
      <c r="F7" s="12"/>
      <c r="G7" s="12"/>
      <c r="H7" s="12"/>
      <c r="I7" s="12"/>
      <c r="J7" s="12"/>
      <c r="K7" s="12"/>
    </row>
    <row r="8" spans="2:11" x14ac:dyDescent="0.2">
      <c r="B8" s="2" t="s">
        <v>275</v>
      </c>
      <c r="C8" s="3" t="s">
        <v>276</v>
      </c>
      <c r="D8" s="12">
        <v>95000</v>
      </c>
      <c r="E8" s="12"/>
      <c r="F8" s="12"/>
      <c r="G8" s="12"/>
      <c r="H8" s="12"/>
      <c r="I8" s="12"/>
      <c r="J8" s="12"/>
      <c r="K8" s="12"/>
    </row>
    <row r="9" spans="2:11" x14ac:dyDescent="0.2">
      <c r="B9" s="2" t="s">
        <v>277</v>
      </c>
      <c r="C9" s="3" t="s">
        <v>276</v>
      </c>
      <c r="D9" s="26">
        <v>0.28000000000000003</v>
      </c>
      <c r="E9" s="26"/>
      <c r="F9" s="26"/>
      <c r="G9" s="26"/>
      <c r="H9" s="26"/>
      <c r="I9" s="26"/>
      <c r="J9" s="26"/>
      <c r="K9" s="26"/>
    </row>
    <row r="10" spans="2:11" x14ac:dyDescent="0.2">
      <c r="B10" s="2" t="s">
        <v>278</v>
      </c>
      <c r="C10" s="3" t="s">
        <v>279</v>
      </c>
      <c r="D10" s="22">
        <v>5</v>
      </c>
      <c r="E10" s="22"/>
      <c r="F10" s="22"/>
      <c r="G10" s="22"/>
      <c r="H10" s="22"/>
      <c r="I10" s="22"/>
      <c r="J10" s="22"/>
      <c r="K10" s="22"/>
    </row>
    <row r="11" spans="2:11" x14ac:dyDescent="0.2">
      <c r="B11" s="2" t="s">
        <v>280</v>
      </c>
      <c r="C11" s="3" t="s">
        <v>276</v>
      </c>
      <c r="D11" s="22">
        <v>2</v>
      </c>
      <c r="E11" s="22"/>
      <c r="F11" s="22"/>
      <c r="G11" s="22"/>
      <c r="H11" s="22"/>
      <c r="I11" s="22"/>
      <c r="J11" s="22"/>
      <c r="K11" s="22"/>
    </row>
    <row r="12" spans="2:11" x14ac:dyDescent="0.2">
      <c r="B12" s="2" t="s">
        <v>281</v>
      </c>
      <c r="C12" s="3" t="s">
        <v>276</v>
      </c>
      <c r="D12" s="22">
        <v>1</v>
      </c>
      <c r="E12" s="22"/>
      <c r="F12" s="22"/>
      <c r="G12" s="22"/>
      <c r="H12" s="22"/>
      <c r="I12" s="22"/>
      <c r="J12" s="22"/>
      <c r="K12" s="22"/>
    </row>
    <row r="13" spans="2:11" x14ac:dyDescent="0.2">
      <c r="B13" s="2" t="s">
        <v>282</v>
      </c>
      <c r="C13" s="3" t="s">
        <v>276</v>
      </c>
      <c r="D13" s="26">
        <v>0.55000000000000004</v>
      </c>
      <c r="E13" s="26"/>
      <c r="F13" s="26"/>
      <c r="G13" s="26"/>
      <c r="H13" s="26"/>
      <c r="I13" s="26"/>
      <c r="J13" s="26"/>
      <c r="K13" s="26"/>
    </row>
    <row r="14" spans="2:11" x14ac:dyDescent="0.2">
      <c r="B14" s="2" t="s">
        <v>283</v>
      </c>
      <c r="C14" s="3" t="s">
        <v>284</v>
      </c>
      <c r="D14" s="31">
        <v>5.15</v>
      </c>
      <c r="E14" s="31"/>
      <c r="F14" s="31"/>
      <c r="G14" s="31"/>
      <c r="H14" s="31"/>
      <c r="I14" s="31"/>
      <c r="J14" s="31"/>
      <c r="K14" s="31"/>
    </row>
    <row r="15" spans="2:11" x14ac:dyDescent="0.2">
      <c r="B15" s="2" t="s">
        <v>285</v>
      </c>
      <c r="C15" s="3" t="s">
        <v>284</v>
      </c>
      <c r="D15" s="26">
        <v>0.54</v>
      </c>
      <c r="E15" s="26"/>
      <c r="F15" s="26"/>
      <c r="G15" s="26"/>
      <c r="H15" s="26"/>
      <c r="I15" s="26"/>
      <c r="J15" s="26"/>
      <c r="K15" s="26"/>
    </row>
    <row r="16" spans="2:11" x14ac:dyDescent="0.2">
      <c r="B16" s="2" t="s">
        <v>286</v>
      </c>
      <c r="C16" s="3" t="s">
        <v>287</v>
      </c>
      <c r="D16" s="26">
        <v>0.4</v>
      </c>
      <c r="E16" s="26"/>
      <c r="F16" s="26"/>
      <c r="G16" s="26"/>
      <c r="H16" s="26"/>
      <c r="I16" s="26"/>
      <c r="J16" s="26"/>
      <c r="K16" s="26"/>
    </row>
    <row r="17" spans="2:11" x14ac:dyDescent="0.2">
      <c r="B17" s="2" t="s">
        <v>288</v>
      </c>
      <c r="C17" s="3" t="s">
        <v>289</v>
      </c>
      <c r="D17" s="12">
        <v>9000</v>
      </c>
      <c r="E17" s="12"/>
      <c r="F17" s="12"/>
      <c r="G17" s="12"/>
      <c r="H17" s="12"/>
      <c r="I17" s="12"/>
      <c r="J17" s="12"/>
      <c r="K17" s="12"/>
    </row>
    <row r="18" spans="2:11" x14ac:dyDescent="0.2">
      <c r="B18" s="2" t="s">
        <v>290</v>
      </c>
      <c r="C18" s="3" t="s">
        <v>291</v>
      </c>
      <c r="D18" s="9" t="s">
        <v>292</v>
      </c>
      <c r="E18" s="9"/>
      <c r="F18" s="9"/>
      <c r="G18" s="9"/>
      <c r="H18" s="9"/>
      <c r="I18" s="9"/>
      <c r="J18" s="9"/>
      <c r="K18" s="9"/>
    </row>
    <row r="20" spans="2:11" x14ac:dyDescent="0.2">
      <c r="B20" s="4" t="s">
        <v>293</v>
      </c>
      <c r="C20" s="4" t="s">
        <v>294</v>
      </c>
      <c r="D20" s="4"/>
      <c r="E20" s="4"/>
      <c r="F20" s="4"/>
      <c r="G20" s="4"/>
      <c r="H20" s="4"/>
      <c r="I20" s="4"/>
      <c r="J20" s="4"/>
      <c r="K20" s="4"/>
    </row>
    <row r="21" spans="2:11" x14ac:dyDescent="0.2">
      <c r="B21" s="11" t="s">
        <v>295</v>
      </c>
      <c r="C21" s="32">
        <v>0.15</v>
      </c>
      <c r="D21" s="20">
        <f t="shared" ref="D21:K21" si="0">IF(D8="","",IF(D8&gt;=40000,2,IF(D8&gt;=20000,1,0)))</f>
        <v>2</v>
      </c>
      <c r="E21" s="20" t="str">
        <f t="shared" si="0"/>
        <v/>
      </c>
      <c r="F21" s="20" t="str">
        <f t="shared" si="0"/>
        <v/>
      </c>
      <c r="G21" s="20" t="str">
        <f t="shared" si="0"/>
        <v/>
      </c>
      <c r="H21" s="20" t="str">
        <f t="shared" si="0"/>
        <v/>
      </c>
      <c r="I21" s="20" t="str">
        <f t="shared" si="0"/>
        <v/>
      </c>
      <c r="J21" s="20" t="str">
        <f t="shared" si="0"/>
        <v/>
      </c>
      <c r="K21" s="20" t="str">
        <f t="shared" si="0"/>
        <v/>
      </c>
    </row>
    <row r="22" spans="2:11" x14ac:dyDescent="0.2">
      <c r="B22" s="11" t="s">
        <v>296</v>
      </c>
      <c r="C22" s="32">
        <v>0.1</v>
      </c>
      <c r="D22" s="20">
        <f t="shared" ref="D22:K22" si="1">IF(D9="","",IF(D9&lt;0.3,2,IF(D9&lt;=0.4,1,0)))</f>
        <v>2</v>
      </c>
      <c r="E22" s="20" t="str">
        <f t="shared" si="1"/>
        <v/>
      </c>
      <c r="F22" s="20" t="str">
        <f t="shared" si="1"/>
        <v/>
      </c>
      <c r="G22" s="20" t="str">
        <f t="shared" si="1"/>
        <v/>
      </c>
      <c r="H22" s="20" t="str">
        <f t="shared" si="1"/>
        <v/>
      </c>
      <c r="I22" s="20" t="str">
        <f t="shared" si="1"/>
        <v/>
      </c>
      <c r="J22" s="20" t="str">
        <f t="shared" si="1"/>
        <v/>
      </c>
      <c r="K22" s="20" t="str">
        <f t="shared" si="1"/>
        <v/>
      </c>
    </row>
    <row r="23" spans="2:11" x14ac:dyDescent="0.2">
      <c r="B23" s="11" t="s">
        <v>297</v>
      </c>
      <c r="C23" s="32">
        <v>0.1</v>
      </c>
      <c r="D23" s="20">
        <f t="shared" ref="D23:K23" si="2">IF(D10="","",IF(D10&lt;=2,2,IF(D10&lt;=4,1,0)))</f>
        <v>0</v>
      </c>
      <c r="E23" s="20" t="str">
        <f t="shared" si="2"/>
        <v/>
      </c>
      <c r="F23" s="20" t="str">
        <f t="shared" si="2"/>
        <v/>
      </c>
      <c r="G23" s="20" t="str">
        <f t="shared" si="2"/>
        <v/>
      </c>
      <c r="H23" s="20" t="str">
        <f t="shared" si="2"/>
        <v/>
      </c>
      <c r="I23" s="20" t="str">
        <f t="shared" si="2"/>
        <v/>
      </c>
      <c r="J23" s="20" t="str">
        <f t="shared" si="2"/>
        <v/>
      </c>
      <c r="K23" s="20" t="str">
        <f t="shared" si="2"/>
        <v/>
      </c>
    </row>
    <row r="24" spans="2:11" x14ac:dyDescent="0.2">
      <c r="B24" s="11" t="s">
        <v>298</v>
      </c>
      <c r="C24" s="32">
        <v>0.1</v>
      </c>
      <c r="D24" s="20">
        <f t="shared" ref="D24:K24" si="3">IF(D11="","",IF(D11&gt;=2,2,IF(D11&gt;=1,1,0)))</f>
        <v>2</v>
      </c>
      <c r="E24" s="20" t="str">
        <f t="shared" si="3"/>
        <v/>
      </c>
      <c r="F24" s="20" t="str">
        <f t="shared" si="3"/>
        <v/>
      </c>
      <c r="G24" s="20" t="str">
        <f t="shared" si="3"/>
        <v/>
      </c>
      <c r="H24" s="20" t="str">
        <f t="shared" si="3"/>
        <v/>
      </c>
      <c r="I24" s="20" t="str">
        <f t="shared" si="3"/>
        <v/>
      </c>
      <c r="J24" s="20" t="str">
        <f t="shared" si="3"/>
        <v/>
      </c>
      <c r="K24" s="20" t="str">
        <f t="shared" si="3"/>
        <v/>
      </c>
    </row>
    <row r="25" spans="2:11" x14ac:dyDescent="0.2">
      <c r="B25" s="11" t="s">
        <v>299</v>
      </c>
      <c r="C25" s="32">
        <v>0.1</v>
      </c>
      <c r="D25" s="20">
        <f t="shared" ref="D25:K25" si="4">IF(D12="","",IF(D12=1,2,0))</f>
        <v>2</v>
      </c>
      <c r="E25" s="20" t="str">
        <f t="shared" si="4"/>
        <v/>
      </c>
      <c r="F25" s="20" t="str">
        <f t="shared" si="4"/>
        <v/>
      </c>
      <c r="G25" s="20" t="str">
        <f t="shared" si="4"/>
        <v/>
      </c>
      <c r="H25" s="20" t="str">
        <f t="shared" si="4"/>
        <v/>
      </c>
      <c r="I25" s="20" t="str">
        <f t="shared" si="4"/>
        <v/>
      </c>
      <c r="J25" s="20" t="str">
        <f t="shared" si="4"/>
        <v/>
      </c>
      <c r="K25" s="20" t="str">
        <f t="shared" si="4"/>
        <v/>
      </c>
    </row>
    <row r="26" spans="2:11" x14ac:dyDescent="0.2">
      <c r="B26" s="11" t="s">
        <v>300</v>
      </c>
      <c r="C26" s="32">
        <v>0.05</v>
      </c>
      <c r="D26" s="20">
        <f t="shared" ref="D26:K26" si="5">IF(D13="","",IF(D13&lt;0.4,2,IF(D13&lt;0.6,1,0)))</f>
        <v>1</v>
      </c>
      <c r="E26" s="20" t="str">
        <f t="shared" si="5"/>
        <v/>
      </c>
      <c r="F26" s="20" t="str">
        <f t="shared" si="5"/>
        <v/>
      </c>
      <c r="G26" s="20" t="str">
        <f t="shared" si="5"/>
        <v/>
      </c>
      <c r="H26" s="20" t="str">
        <f t="shared" si="5"/>
        <v/>
      </c>
      <c r="I26" s="20" t="str">
        <f t="shared" si="5"/>
        <v/>
      </c>
      <c r="J26" s="20" t="str">
        <f t="shared" si="5"/>
        <v/>
      </c>
      <c r="K26" s="20" t="str">
        <f t="shared" si="5"/>
        <v/>
      </c>
    </row>
    <row r="27" spans="2:11" x14ac:dyDescent="0.2">
      <c r="B27" s="11" t="s">
        <v>283</v>
      </c>
      <c r="C27" s="32">
        <v>0.15</v>
      </c>
      <c r="D27" s="20">
        <f t="shared" ref="D27:K27" si="6">IF(D14="","",IF(D14&lt;1.5,2,IF(D14&lt;2.5,1,0)))</f>
        <v>0</v>
      </c>
      <c r="E27" s="20" t="str">
        <f t="shared" si="6"/>
        <v/>
      </c>
      <c r="F27" s="20" t="str">
        <f t="shared" si="6"/>
        <v/>
      </c>
      <c r="G27" s="20" t="str">
        <f t="shared" si="6"/>
        <v/>
      </c>
      <c r="H27" s="20" t="str">
        <f t="shared" si="6"/>
        <v/>
      </c>
      <c r="I27" s="20" t="str">
        <f t="shared" si="6"/>
        <v/>
      </c>
      <c r="J27" s="20" t="str">
        <f t="shared" si="6"/>
        <v/>
      </c>
      <c r="K27" s="20" t="str">
        <f t="shared" si="6"/>
        <v/>
      </c>
    </row>
    <row r="28" spans="2:11" x14ac:dyDescent="0.2">
      <c r="B28" s="11" t="s">
        <v>301</v>
      </c>
      <c r="C28" s="32">
        <v>0.05</v>
      </c>
      <c r="D28" s="20">
        <f t="shared" ref="D28:K28" si="7">IF(D15="","",IF(D15&lt;0.45,2,IF(D15&lt;0.6,1,0)))</f>
        <v>1</v>
      </c>
      <c r="E28" s="20" t="str">
        <f t="shared" si="7"/>
        <v/>
      </c>
      <c r="F28" s="20" t="str">
        <f t="shared" si="7"/>
        <v/>
      </c>
      <c r="G28" s="20" t="str">
        <f t="shared" si="7"/>
        <v/>
      </c>
      <c r="H28" s="20" t="str">
        <f t="shared" si="7"/>
        <v/>
      </c>
      <c r="I28" s="20" t="str">
        <f t="shared" si="7"/>
        <v/>
      </c>
      <c r="J28" s="20" t="str">
        <f t="shared" si="7"/>
        <v/>
      </c>
      <c r="K28" s="20" t="str">
        <f t="shared" si="7"/>
        <v/>
      </c>
    </row>
    <row r="29" spans="2:11" x14ac:dyDescent="0.2">
      <c r="B29" s="11" t="s">
        <v>302</v>
      </c>
      <c r="C29" s="32">
        <v>0.15</v>
      </c>
      <c r="D29" s="20">
        <f t="shared" ref="D29:K29" si="8">IF(D16="","",IF(D16&gt;=0.35,2,IF(D16&gt;=0.3,1,0)))</f>
        <v>2</v>
      </c>
      <c r="E29" s="20" t="str">
        <f t="shared" si="8"/>
        <v/>
      </c>
      <c r="F29" s="20" t="str">
        <f t="shared" si="8"/>
        <v/>
      </c>
      <c r="G29" s="20" t="str">
        <f t="shared" si="8"/>
        <v/>
      </c>
      <c r="H29" s="20" t="str">
        <f t="shared" si="8"/>
        <v/>
      </c>
      <c r="I29" s="20" t="str">
        <f t="shared" si="8"/>
        <v/>
      </c>
      <c r="J29" s="20" t="str">
        <f t="shared" si="8"/>
        <v/>
      </c>
      <c r="K29" s="20" t="str">
        <f t="shared" si="8"/>
        <v/>
      </c>
    </row>
    <row r="30" spans="2:11" x14ac:dyDescent="0.2">
      <c r="B30" s="11" t="s">
        <v>303</v>
      </c>
      <c r="C30" s="32">
        <v>0.05</v>
      </c>
      <c r="D30" s="20">
        <f t="shared" ref="D30:K30" si="9">IF(D17="","",IF(D17&lt;=0.8*$C$4,2,IF(D17&lt;=$C$4,1,0)))</f>
        <v>0</v>
      </c>
      <c r="E30" s="20" t="str">
        <f t="shared" si="9"/>
        <v/>
      </c>
      <c r="F30" s="20" t="str">
        <f t="shared" si="9"/>
        <v/>
      </c>
      <c r="G30" s="20" t="str">
        <f t="shared" si="9"/>
        <v/>
      </c>
      <c r="H30" s="20" t="str">
        <f t="shared" si="9"/>
        <v/>
      </c>
      <c r="I30" s="20" t="str">
        <f t="shared" si="9"/>
        <v/>
      </c>
      <c r="J30" s="20" t="str">
        <f t="shared" si="9"/>
        <v/>
      </c>
      <c r="K30" s="20" t="str">
        <f t="shared" si="9"/>
        <v/>
      </c>
    </row>
    <row r="32" spans="2:11" x14ac:dyDescent="0.2">
      <c r="B32" s="5" t="s">
        <v>304</v>
      </c>
      <c r="D32" s="23">
        <f t="shared" ref="D32:K32" si="10">IF(COUNT(D21:D30)&lt;10,"",ROUND(SUMPRODUCT($C$21:$C$30,D21:D30)/2*100,0))</f>
        <v>65</v>
      </c>
      <c r="E32" s="23" t="str">
        <f t="shared" si="10"/>
        <v/>
      </c>
      <c r="F32" s="23" t="str">
        <f t="shared" si="10"/>
        <v/>
      </c>
      <c r="G32" s="23" t="str">
        <f t="shared" si="10"/>
        <v/>
      </c>
      <c r="H32" s="23" t="str">
        <f t="shared" si="10"/>
        <v/>
      </c>
      <c r="I32" s="23" t="str">
        <f t="shared" si="10"/>
        <v/>
      </c>
      <c r="J32" s="23" t="str">
        <f t="shared" si="10"/>
        <v/>
      </c>
      <c r="K32" s="23" t="str">
        <f t="shared" si="10"/>
        <v/>
      </c>
    </row>
    <row r="33" spans="2:11" x14ac:dyDescent="0.2">
      <c r="B33" s="5" t="s">
        <v>305</v>
      </c>
      <c r="D33" s="5" t="str">
        <f t="shared" ref="D33:K33" si="11">IF(D18="NO","DISQUALIFIED: compliance",IF(D14="","—",IF(D14&gt;=4,"DISQUALIFIED: single-season","OK")))</f>
        <v>DISQUALIFIED: compliance</v>
      </c>
      <c r="E33" s="5" t="str">
        <f t="shared" si="11"/>
        <v>—</v>
      </c>
      <c r="F33" s="5" t="str">
        <f t="shared" si="11"/>
        <v>—</v>
      </c>
      <c r="G33" s="5" t="str">
        <f t="shared" si="11"/>
        <v>—</v>
      </c>
      <c r="H33" s="5" t="str">
        <f t="shared" si="11"/>
        <v>—</v>
      </c>
      <c r="I33" s="5" t="str">
        <f t="shared" si="11"/>
        <v>—</v>
      </c>
      <c r="J33" s="5" t="str">
        <f t="shared" si="11"/>
        <v>—</v>
      </c>
      <c r="K33" s="5" t="str">
        <f t="shared" si="11"/>
        <v>—</v>
      </c>
    </row>
    <row r="34" spans="2:11" x14ac:dyDescent="0.2">
      <c r="B34" s="5" t="s">
        <v>98</v>
      </c>
      <c r="D34" s="5" t="str">
        <f t="shared" ref="D34:K34" si="12">IF(D32="","",IF(D33&lt;&gt;"OK","DROP",IF(D32&gt;=70,"INVESTIGATE",IF(D32&gt;=50,"PARK","DROP"))))</f>
        <v>DROP</v>
      </c>
      <c r="E34" s="5" t="str">
        <f t="shared" si="12"/>
        <v/>
      </c>
      <c r="F34" s="5" t="str">
        <f t="shared" si="12"/>
        <v/>
      </c>
      <c r="G34" s="5" t="str">
        <f t="shared" si="12"/>
        <v/>
      </c>
      <c r="H34" s="5" t="str">
        <f t="shared" si="12"/>
        <v/>
      </c>
      <c r="I34" s="5" t="str">
        <f t="shared" si="12"/>
        <v/>
      </c>
      <c r="J34" s="5" t="str">
        <f t="shared" si="12"/>
        <v/>
      </c>
      <c r="K34" s="5" t="str">
        <f t="shared" si="12"/>
        <v/>
      </c>
    </row>
    <row r="36" spans="2:11" ht="26" x14ac:dyDescent="0.2">
      <c r="B36" s="3" t="s">
        <v>306</v>
      </c>
    </row>
    <row r="37" spans="2:11" ht="39" x14ac:dyDescent="0.2">
      <c r="B37" s="3" t="s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B1:E43"/>
  <sheetViews>
    <sheetView workbookViewId="0"/>
  </sheetViews>
  <sheetFormatPr baseColWidth="10" defaultColWidth="8.83203125" defaultRowHeight="15" x14ac:dyDescent="0.2"/>
  <cols>
    <col min="1" max="1" width="2" customWidth="1"/>
    <col min="2" max="2" width="46" customWidth="1"/>
    <col min="3" max="3" width="14" customWidth="1"/>
    <col min="4" max="4" width="2" customWidth="1"/>
    <col min="5" max="5" width="64" customWidth="1"/>
  </cols>
  <sheetData>
    <row r="1" spans="2:5" x14ac:dyDescent="0.2">
      <c r="B1" s="6" t="str">
        <f>HYPERLINK("#Start!B2","← Start")</f>
        <v>← Start</v>
      </c>
    </row>
    <row r="2" spans="2:5" ht="16" x14ac:dyDescent="0.2">
      <c r="B2" s="1" t="s">
        <v>308</v>
      </c>
    </row>
    <row r="3" spans="2:5" ht="56" x14ac:dyDescent="0.2">
      <c r="B3" s="2" t="s">
        <v>309</v>
      </c>
    </row>
    <row r="5" spans="2:5" x14ac:dyDescent="0.2">
      <c r="B5" s="4" t="s">
        <v>134</v>
      </c>
      <c r="C5" s="4"/>
    </row>
    <row r="6" spans="2:5" ht="26" x14ac:dyDescent="0.2">
      <c r="B6" s="11" t="s">
        <v>310</v>
      </c>
      <c r="C6" s="12">
        <v>600</v>
      </c>
      <c r="E6" s="3" t="s">
        <v>311</v>
      </c>
    </row>
    <row r="7" spans="2:5" x14ac:dyDescent="0.2">
      <c r="B7" s="11" t="s">
        <v>312</v>
      </c>
      <c r="C7" s="12">
        <v>1400</v>
      </c>
      <c r="E7" s="3" t="s">
        <v>313</v>
      </c>
    </row>
    <row r="8" spans="2:5" x14ac:dyDescent="0.2">
      <c r="B8" s="11" t="s">
        <v>314</v>
      </c>
      <c r="C8" s="25">
        <v>5</v>
      </c>
      <c r="E8" s="3" t="s">
        <v>315</v>
      </c>
    </row>
    <row r="9" spans="2:5" x14ac:dyDescent="0.2">
      <c r="B9" s="11" t="s">
        <v>316</v>
      </c>
      <c r="C9" s="25">
        <v>1</v>
      </c>
      <c r="E9" s="3" t="s">
        <v>317</v>
      </c>
    </row>
    <row r="10" spans="2:5" x14ac:dyDescent="0.2">
      <c r="B10" s="11" t="s">
        <v>318</v>
      </c>
      <c r="C10" s="12">
        <v>300</v>
      </c>
      <c r="E10" s="3" t="s">
        <v>319</v>
      </c>
    </row>
    <row r="11" spans="2:5" x14ac:dyDescent="0.2">
      <c r="B11" s="11" t="s">
        <v>320</v>
      </c>
      <c r="C11" s="25">
        <v>5000</v>
      </c>
      <c r="E11" s="3" t="s">
        <v>321</v>
      </c>
    </row>
    <row r="13" spans="2:5" x14ac:dyDescent="0.2">
      <c r="B13" s="4" t="s">
        <v>322</v>
      </c>
      <c r="C13" s="4"/>
    </row>
    <row r="14" spans="2:5" x14ac:dyDescent="0.2">
      <c r="B14" s="11" t="s">
        <v>323</v>
      </c>
      <c r="C14" s="33">
        <f>'3 Unit economics'!C29</f>
        <v>20.339570588235301</v>
      </c>
    </row>
    <row r="15" spans="2:5" x14ac:dyDescent="0.2">
      <c r="B15" s="11" t="s">
        <v>169</v>
      </c>
      <c r="C15" s="33">
        <f>-'3 Unit economics'!C27</f>
        <v>12.929399999999999</v>
      </c>
    </row>
    <row r="17" spans="2:5" x14ac:dyDescent="0.2">
      <c r="B17" s="4" t="s">
        <v>161</v>
      </c>
      <c r="C17" s="4"/>
    </row>
    <row r="18" spans="2:5" x14ac:dyDescent="0.2">
      <c r="B18" s="11" t="s">
        <v>324</v>
      </c>
      <c r="C18" s="13">
        <f>(C6+C7)/2</f>
        <v>1000</v>
      </c>
    </row>
    <row r="19" spans="2:5" x14ac:dyDescent="0.2">
      <c r="B19" s="11" t="s">
        <v>325</v>
      </c>
      <c r="C19" s="13">
        <f>(C7-C6)/2.5631</f>
        <v>312.12203971752956</v>
      </c>
      <c r="E19" s="3" t="s">
        <v>326</v>
      </c>
    </row>
    <row r="20" spans="2:5" x14ac:dyDescent="0.2">
      <c r="B20" s="11" t="s">
        <v>327</v>
      </c>
      <c r="C20" s="27">
        <f>C15+C9-C8</f>
        <v>8.9293999999999993</v>
      </c>
      <c r="E20" s="3" t="s">
        <v>328</v>
      </c>
    </row>
    <row r="21" spans="2:5" x14ac:dyDescent="0.2">
      <c r="B21" s="5" t="s">
        <v>329</v>
      </c>
      <c r="C21" s="18">
        <f>IFERROR(C14/(C14+C20),"")</f>
        <v>0.69491923287561119</v>
      </c>
      <c r="E21" s="3" t="s">
        <v>330</v>
      </c>
    </row>
    <row r="22" spans="2:5" x14ac:dyDescent="0.2">
      <c r="B22" s="11" t="s">
        <v>331</v>
      </c>
      <c r="C22" s="13">
        <f>IFERROR(ROUND(NORMINV(C21,C18,C19),0),"")</f>
        <v>1159</v>
      </c>
    </row>
    <row r="23" spans="2:5" x14ac:dyDescent="0.2">
      <c r="B23" s="11" t="s">
        <v>332</v>
      </c>
      <c r="C23" s="13">
        <f>IFERROR(INT(C11/C15),"")</f>
        <v>386</v>
      </c>
    </row>
    <row r="24" spans="2:5" x14ac:dyDescent="0.2">
      <c r="B24" s="5" t="s">
        <v>333</v>
      </c>
      <c r="C24" s="17">
        <f>IFERROR(MIN(MAX(C10,C22),C23),"")</f>
        <v>386</v>
      </c>
      <c r="E24" s="3" t="s">
        <v>334</v>
      </c>
    </row>
    <row r="25" spans="2:5" x14ac:dyDescent="0.2">
      <c r="B25" s="11" t="s">
        <v>335</v>
      </c>
      <c r="C25" s="14">
        <f>IFERROR((C24-C18)/C19,"")</f>
        <v>-1.96717925</v>
      </c>
    </row>
    <row r="26" spans="2:5" x14ac:dyDescent="0.2">
      <c r="B26" s="11" t="s">
        <v>336</v>
      </c>
      <c r="C26" s="13">
        <f>IFERROR(ROUND(C19*(NORMDIST(C25,0,1,FALSE)-C25*(1-NORMSDIST(C25))),0),"")</f>
        <v>617</v>
      </c>
    </row>
    <row r="27" spans="2:5" x14ac:dyDescent="0.2">
      <c r="B27" s="11" t="s">
        <v>337</v>
      </c>
      <c r="C27" s="13">
        <f>IFERROR(ROUND(C24-C18+C26,0),"")</f>
        <v>3</v>
      </c>
    </row>
    <row r="28" spans="2:5" x14ac:dyDescent="0.2">
      <c r="B28" s="11" t="s">
        <v>338</v>
      </c>
      <c r="C28" s="13">
        <f>IFERROR(ROUND(C14*(C18-C26)-C20*C27,0),"")</f>
        <v>7763</v>
      </c>
    </row>
    <row r="30" spans="2:5" x14ac:dyDescent="0.2">
      <c r="B30" s="5" t="str">
        <f>IF(OR(C22="",C10=""),"",IF(C10&gt;C22*1.2,"⚠ MOQ is far above the optimum — negotiate MOQ down or reconsider the product.",""))</f>
        <v/>
      </c>
    </row>
    <row r="31" spans="2:5" x14ac:dyDescent="0.2">
      <c r="B31" s="5" t="str">
        <f>IF(OR(C22="",C23=""),"",IF(C23&lt;C22*0.8,"⚠ Budget caps you well below the optimum — plan the reorder date now (Sheet 8).",""))</f>
        <v>⚠ Budget caps you well below the optimum — plan the reorder date now (Sheet 8).</v>
      </c>
    </row>
    <row r="33" spans="2:5" ht="26" x14ac:dyDescent="0.2">
      <c r="B33" s="3" t="s">
        <v>339</v>
      </c>
    </row>
    <row r="35" spans="2:5" x14ac:dyDescent="0.2">
      <c r="B35" s="4" t="s">
        <v>340</v>
      </c>
      <c r="C35" s="4"/>
    </row>
    <row r="36" spans="2:5" ht="65" x14ac:dyDescent="0.2">
      <c r="B36" s="11" t="s">
        <v>341</v>
      </c>
      <c r="C36" s="12">
        <v>44</v>
      </c>
      <c r="E36" s="3" t="s">
        <v>342</v>
      </c>
    </row>
    <row r="37" spans="2:5" x14ac:dyDescent="0.2">
      <c r="B37" s="11" t="s">
        <v>343</v>
      </c>
      <c r="C37" s="22">
        <v>12</v>
      </c>
    </row>
    <row r="38" spans="2:5" x14ac:dyDescent="0.2">
      <c r="B38" s="11" t="s">
        <v>344</v>
      </c>
      <c r="C38" s="26">
        <v>0.04</v>
      </c>
    </row>
    <row r="39" spans="2:5" x14ac:dyDescent="0.2">
      <c r="B39" s="11" t="s">
        <v>345</v>
      </c>
      <c r="C39" s="26">
        <v>0.15</v>
      </c>
    </row>
    <row r="40" spans="2:5" x14ac:dyDescent="0.2">
      <c r="B40" s="11" t="s">
        <v>346</v>
      </c>
      <c r="C40" s="13">
        <f>IFERROR(ROUND(C36*(52/12)*C38*C37,0),"")</f>
        <v>92</v>
      </c>
    </row>
    <row r="41" spans="2:5" x14ac:dyDescent="0.2">
      <c r="B41" s="11" t="s">
        <v>347</v>
      </c>
      <c r="C41" s="13">
        <f>IFERROR(ROUND(C36*(52/12)*C39*C37,0),"")</f>
        <v>343</v>
      </c>
    </row>
    <row r="43" spans="2:5" ht="39" x14ac:dyDescent="0.2">
      <c r="B43" s="3" t="s">
        <v>348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B1:J229"/>
  <sheetViews>
    <sheetView workbookViewId="0">
      <pane ySplit="29" topLeftCell="A30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40" customWidth="1"/>
    <col min="3" max="3" width="12" customWidth="1"/>
    <col min="4" max="4" width="11" customWidth="1"/>
    <col min="5" max="5" width="9" customWidth="1"/>
    <col min="6" max="6" width="11" customWidth="1"/>
    <col min="7" max="7" width="24" customWidth="1"/>
    <col min="8" max="8" width="2" customWidth="1"/>
    <col min="9" max="9" width="34" customWidth="1"/>
    <col min="10" max="10" width="12" customWidth="1"/>
  </cols>
  <sheetData>
    <row r="1" spans="2:10" x14ac:dyDescent="0.2">
      <c r="B1" s="6" t="str">
        <f>HYPERLINK("#Start!B2","← Start")</f>
        <v>← Start</v>
      </c>
    </row>
    <row r="2" spans="2:10" ht="16" x14ac:dyDescent="0.2">
      <c r="B2" s="1" t="s">
        <v>349</v>
      </c>
    </row>
    <row r="3" spans="2:10" ht="42" x14ac:dyDescent="0.2">
      <c r="B3" s="2" t="s">
        <v>350</v>
      </c>
    </row>
    <row r="5" spans="2:10" x14ac:dyDescent="0.2">
      <c r="B5" s="4" t="s">
        <v>351</v>
      </c>
      <c r="C5" s="4"/>
      <c r="I5" s="4" t="s">
        <v>352</v>
      </c>
      <c r="J5" s="4"/>
    </row>
    <row r="6" spans="2:10" x14ac:dyDescent="0.2">
      <c r="B6" s="11" t="s">
        <v>353</v>
      </c>
      <c r="C6" s="33">
        <f>'3 Unit economics'!C6</f>
        <v>59.99</v>
      </c>
      <c r="I6" s="11" t="s">
        <v>354</v>
      </c>
      <c r="J6" s="22">
        <v>39</v>
      </c>
    </row>
    <row r="7" spans="2:10" x14ac:dyDescent="0.2">
      <c r="B7" s="11" t="s">
        <v>172</v>
      </c>
      <c r="C7" s="33">
        <f>'3 Unit economics'!C29</f>
        <v>20.339570588235301</v>
      </c>
      <c r="I7" s="11" t="s">
        <v>355</v>
      </c>
      <c r="J7" s="25">
        <v>3</v>
      </c>
    </row>
    <row r="8" spans="2:10" x14ac:dyDescent="0.2">
      <c r="B8" s="11" t="s">
        <v>356</v>
      </c>
      <c r="C8" s="18">
        <f>IFERROR(C7/C6,"")</f>
        <v>0.3390493513624821</v>
      </c>
      <c r="I8" s="11" t="s">
        <v>357</v>
      </c>
      <c r="J8" s="27">
        <f>IFERROR(J6*('6 Order size'!C15+J7),"")</f>
        <v>621.24659999999994</v>
      </c>
    </row>
    <row r="9" spans="2:10" x14ac:dyDescent="0.2">
      <c r="B9" s="11" t="s">
        <v>358</v>
      </c>
      <c r="C9" s="14">
        <f>IFERROR(1/C8,"")</f>
        <v>2.9494231325954874</v>
      </c>
      <c r="I9" s="11" t="s">
        <v>359</v>
      </c>
      <c r="J9" s="27">
        <f>IFERROR(C18*8,"")</f>
        <v>192.00000000000003</v>
      </c>
    </row>
    <row r="10" spans="2:10" ht="65" x14ac:dyDescent="0.2">
      <c r="B10" s="11" t="s">
        <v>360</v>
      </c>
      <c r="C10" s="26">
        <v>0.3</v>
      </c>
      <c r="E10" s="3" t="s">
        <v>361</v>
      </c>
      <c r="I10" s="5" t="s">
        <v>362</v>
      </c>
      <c r="J10" s="28">
        <f>IFERROR(J8+J9,"")</f>
        <v>813.24659999999994</v>
      </c>
    </row>
    <row r="11" spans="2:10" x14ac:dyDescent="0.2">
      <c r="B11" s="5" t="s">
        <v>363</v>
      </c>
      <c r="C11" s="18">
        <f>IFERROR(C8*C10,"")</f>
        <v>0.10171480540874463</v>
      </c>
    </row>
    <row r="12" spans="2:10" ht="65" x14ac:dyDescent="0.2">
      <c r="B12" s="11" t="s">
        <v>364</v>
      </c>
      <c r="C12" s="14">
        <f>IFERROR(1/C11,"")</f>
        <v>9.8314104419849571</v>
      </c>
      <c r="I12" s="3" t="s">
        <v>365</v>
      </c>
    </row>
    <row r="14" spans="2:10" x14ac:dyDescent="0.2">
      <c r="B14" s="4" t="s">
        <v>366</v>
      </c>
      <c r="C14" s="4"/>
    </row>
    <row r="15" spans="2:10" x14ac:dyDescent="0.2">
      <c r="B15" s="11" t="s">
        <v>367</v>
      </c>
      <c r="C15" s="22">
        <v>3</v>
      </c>
    </row>
    <row r="16" spans="2:10" x14ac:dyDescent="0.2">
      <c r="B16" s="11" t="s">
        <v>368</v>
      </c>
      <c r="C16" s="25">
        <v>0.8</v>
      </c>
    </row>
    <row r="17" spans="2:7" ht="117" x14ac:dyDescent="0.2">
      <c r="B17" s="11" t="s">
        <v>369</v>
      </c>
      <c r="C17" s="26">
        <v>0.1</v>
      </c>
      <c r="E17" s="3" t="s">
        <v>370</v>
      </c>
    </row>
    <row r="18" spans="2:7" x14ac:dyDescent="0.2">
      <c r="B18" s="11" t="s">
        <v>371</v>
      </c>
      <c r="C18" s="27">
        <f>IFERROR(C15*C16/C17,"")</f>
        <v>24.000000000000004</v>
      </c>
    </row>
    <row r="19" spans="2:7" x14ac:dyDescent="0.2">
      <c r="B19" s="11" t="s">
        <v>372</v>
      </c>
      <c r="C19" s="22">
        <v>4</v>
      </c>
    </row>
    <row r="20" spans="2:7" x14ac:dyDescent="0.2">
      <c r="B20" s="5" t="s">
        <v>373</v>
      </c>
      <c r="C20" s="28">
        <f>IFERROR(C18*7*C19,"")</f>
        <v>672.00000000000011</v>
      </c>
    </row>
    <row r="21" spans="2:7" ht="39" x14ac:dyDescent="0.2">
      <c r="B21" s="3" t="s">
        <v>374</v>
      </c>
    </row>
    <row r="22" spans="2:7" x14ac:dyDescent="0.2">
      <c r="B22" s="4" t="s">
        <v>375</v>
      </c>
      <c r="C22" s="4"/>
    </row>
    <row r="23" spans="2:7" x14ac:dyDescent="0.2">
      <c r="B23" s="11" t="s">
        <v>376</v>
      </c>
      <c r="C23" s="22">
        <v>15</v>
      </c>
    </row>
    <row r="24" spans="2:7" x14ac:dyDescent="0.2">
      <c r="B24" s="11" t="s">
        <v>377</v>
      </c>
      <c r="C24" s="25">
        <v>10</v>
      </c>
    </row>
    <row r="25" spans="2:7" x14ac:dyDescent="0.2">
      <c r="B25" s="5" t="s">
        <v>378</v>
      </c>
      <c r="C25" s="28">
        <f>IFERROR(SUMIFS($D$30:$D$229,$E$30:$E$229,0,$B$30:$B$229,"&lt;&gt;"),0)</f>
        <v>45</v>
      </c>
    </row>
    <row r="26" spans="2:7" x14ac:dyDescent="0.2">
      <c r="B26" s="5" t="s">
        <v>379</v>
      </c>
      <c r="C26" s="23">
        <f>COUNTIF($G$30:$G$229,"ADD AS NEGATIVE")</f>
        <v>2</v>
      </c>
    </row>
    <row r="28" spans="2:7" ht="39" x14ac:dyDescent="0.2">
      <c r="B28" s="3" t="s">
        <v>380</v>
      </c>
    </row>
    <row r="29" spans="2:7" x14ac:dyDescent="0.2">
      <c r="B29" s="4" t="s">
        <v>381</v>
      </c>
      <c r="C29" s="4" t="s">
        <v>382</v>
      </c>
      <c r="D29" s="4" t="s">
        <v>383</v>
      </c>
      <c r="E29" s="4" t="s">
        <v>384</v>
      </c>
      <c r="F29" s="4" t="s">
        <v>385</v>
      </c>
      <c r="G29" s="4" t="s">
        <v>75</v>
      </c>
    </row>
    <row r="30" spans="2:7" x14ac:dyDescent="0.2">
      <c r="B30" s="9" t="s">
        <v>386</v>
      </c>
      <c r="C30" s="22">
        <v>42</v>
      </c>
      <c r="D30" s="25">
        <v>31.5</v>
      </c>
      <c r="E30" s="22">
        <v>3</v>
      </c>
      <c r="F30" s="25">
        <v>134.85</v>
      </c>
      <c r="G30" s="11" t="str">
        <f t="shared" ref="G30:G61" si="0">IF(COUNT(C30:F30)&lt;4,"",IF(AND(E30=0,OR(C30&gt;=$C$23,D30&gt;=$C$24)),"ADD AS NEGATIVE",IF(AND(F30&gt;0,D30/F30&gt;$C$8),"ACOS &gt; BREAKEVEN","OK")))</f>
        <v>OK</v>
      </c>
    </row>
    <row r="31" spans="2:7" x14ac:dyDescent="0.2">
      <c r="B31" s="9" t="s">
        <v>387</v>
      </c>
      <c r="C31" s="22">
        <v>23</v>
      </c>
      <c r="D31" s="25">
        <v>18.2</v>
      </c>
      <c r="E31" s="22">
        <v>0</v>
      </c>
      <c r="F31" s="25">
        <v>0</v>
      </c>
      <c r="G31" s="11" t="str">
        <f t="shared" si="0"/>
        <v>ADD AS NEGATIVE</v>
      </c>
    </row>
    <row r="32" spans="2:7" x14ac:dyDescent="0.2">
      <c r="B32" s="9" t="s">
        <v>388</v>
      </c>
      <c r="C32" s="22">
        <v>35</v>
      </c>
      <c r="D32" s="25">
        <v>26.8</v>
      </c>
      <c r="E32" s="22">
        <v>0</v>
      </c>
      <c r="F32" s="25">
        <v>0</v>
      </c>
      <c r="G32" s="11" t="str">
        <f t="shared" si="0"/>
        <v>ADD AS NEGATIVE</v>
      </c>
    </row>
    <row r="33" spans="2:7" x14ac:dyDescent="0.2">
      <c r="B33" s="9"/>
      <c r="C33" s="22"/>
      <c r="D33" s="25"/>
      <c r="E33" s="22"/>
      <c r="F33" s="25"/>
      <c r="G33" s="11" t="str">
        <f t="shared" si="0"/>
        <v/>
      </c>
    </row>
    <row r="34" spans="2:7" x14ac:dyDescent="0.2">
      <c r="B34" s="9"/>
      <c r="C34" s="22"/>
      <c r="D34" s="25"/>
      <c r="E34" s="22"/>
      <c r="F34" s="25"/>
      <c r="G34" s="11" t="str">
        <f t="shared" si="0"/>
        <v/>
      </c>
    </row>
    <row r="35" spans="2:7" x14ac:dyDescent="0.2">
      <c r="B35" s="9"/>
      <c r="C35" s="22"/>
      <c r="D35" s="25"/>
      <c r="E35" s="22"/>
      <c r="F35" s="25"/>
      <c r="G35" s="11" t="str">
        <f t="shared" si="0"/>
        <v/>
      </c>
    </row>
    <row r="36" spans="2:7" x14ac:dyDescent="0.2">
      <c r="B36" s="9"/>
      <c r="C36" s="22"/>
      <c r="D36" s="25"/>
      <c r="E36" s="22"/>
      <c r="F36" s="25"/>
      <c r="G36" s="11" t="str">
        <f t="shared" si="0"/>
        <v/>
      </c>
    </row>
    <row r="37" spans="2:7" x14ac:dyDescent="0.2">
      <c r="B37" s="9"/>
      <c r="C37" s="22"/>
      <c r="D37" s="25"/>
      <c r="E37" s="22"/>
      <c r="F37" s="25"/>
      <c r="G37" s="11" t="str">
        <f t="shared" si="0"/>
        <v/>
      </c>
    </row>
    <row r="38" spans="2:7" x14ac:dyDescent="0.2">
      <c r="B38" s="9"/>
      <c r="C38" s="22"/>
      <c r="D38" s="25"/>
      <c r="E38" s="22"/>
      <c r="F38" s="25"/>
      <c r="G38" s="11" t="str">
        <f t="shared" si="0"/>
        <v/>
      </c>
    </row>
    <row r="39" spans="2:7" x14ac:dyDescent="0.2">
      <c r="B39" s="9"/>
      <c r="C39" s="22"/>
      <c r="D39" s="25"/>
      <c r="E39" s="22"/>
      <c r="F39" s="25"/>
      <c r="G39" s="11" t="str">
        <f t="shared" si="0"/>
        <v/>
      </c>
    </row>
    <row r="40" spans="2:7" x14ac:dyDescent="0.2">
      <c r="B40" s="9"/>
      <c r="C40" s="22"/>
      <c r="D40" s="25"/>
      <c r="E40" s="22"/>
      <c r="F40" s="25"/>
      <c r="G40" s="11" t="str">
        <f t="shared" si="0"/>
        <v/>
      </c>
    </row>
    <row r="41" spans="2:7" x14ac:dyDescent="0.2">
      <c r="B41" s="9"/>
      <c r="C41" s="22"/>
      <c r="D41" s="25"/>
      <c r="E41" s="22"/>
      <c r="F41" s="25"/>
      <c r="G41" s="11" t="str">
        <f t="shared" si="0"/>
        <v/>
      </c>
    </row>
    <row r="42" spans="2:7" x14ac:dyDescent="0.2">
      <c r="B42" s="9"/>
      <c r="C42" s="22"/>
      <c r="D42" s="25"/>
      <c r="E42" s="22"/>
      <c r="F42" s="25"/>
      <c r="G42" s="11" t="str">
        <f t="shared" si="0"/>
        <v/>
      </c>
    </row>
    <row r="43" spans="2:7" x14ac:dyDescent="0.2">
      <c r="B43" s="9"/>
      <c r="C43" s="22"/>
      <c r="D43" s="25"/>
      <c r="E43" s="22"/>
      <c r="F43" s="25"/>
      <c r="G43" s="11" t="str">
        <f t="shared" si="0"/>
        <v/>
      </c>
    </row>
    <row r="44" spans="2:7" x14ac:dyDescent="0.2">
      <c r="B44" s="9"/>
      <c r="C44" s="22"/>
      <c r="D44" s="25"/>
      <c r="E44" s="22"/>
      <c r="F44" s="25"/>
      <c r="G44" s="11" t="str">
        <f t="shared" si="0"/>
        <v/>
      </c>
    </row>
    <row r="45" spans="2:7" x14ac:dyDescent="0.2">
      <c r="B45" s="9"/>
      <c r="C45" s="22"/>
      <c r="D45" s="25"/>
      <c r="E45" s="22"/>
      <c r="F45" s="25"/>
      <c r="G45" s="11" t="str">
        <f t="shared" si="0"/>
        <v/>
      </c>
    </row>
    <row r="46" spans="2:7" x14ac:dyDescent="0.2">
      <c r="B46" s="9"/>
      <c r="C46" s="22"/>
      <c r="D46" s="25"/>
      <c r="E46" s="22"/>
      <c r="F46" s="25"/>
      <c r="G46" s="11" t="str">
        <f t="shared" si="0"/>
        <v/>
      </c>
    </row>
    <row r="47" spans="2:7" x14ac:dyDescent="0.2">
      <c r="B47" s="9"/>
      <c r="C47" s="22"/>
      <c r="D47" s="25"/>
      <c r="E47" s="22"/>
      <c r="F47" s="25"/>
      <c r="G47" s="11" t="str">
        <f t="shared" si="0"/>
        <v/>
      </c>
    </row>
    <row r="48" spans="2:7" x14ac:dyDescent="0.2">
      <c r="B48" s="9"/>
      <c r="C48" s="22"/>
      <c r="D48" s="25"/>
      <c r="E48" s="22"/>
      <c r="F48" s="25"/>
      <c r="G48" s="11" t="str">
        <f t="shared" si="0"/>
        <v/>
      </c>
    </row>
    <row r="49" spans="2:7" x14ac:dyDescent="0.2">
      <c r="B49" s="9"/>
      <c r="C49" s="22"/>
      <c r="D49" s="25"/>
      <c r="E49" s="22"/>
      <c r="F49" s="25"/>
      <c r="G49" s="11" t="str">
        <f t="shared" si="0"/>
        <v/>
      </c>
    </row>
    <row r="50" spans="2:7" x14ac:dyDescent="0.2">
      <c r="B50" s="9"/>
      <c r="C50" s="22"/>
      <c r="D50" s="25"/>
      <c r="E50" s="22"/>
      <c r="F50" s="25"/>
      <c r="G50" s="11" t="str">
        <f t="shared" si="0"/>
        <v/>
      </c>
    </row>
    <row r="51" spans="2:7" x14ac:dyDescent="0.2">
      <c r="B51" s="9"/>
      <c r="C51" s="22"/>
      <c r="D51" s="25"/>
      <c r="E51" s="22"/>
      <c r="F51" s="25"/>
      <c r="G51" s="11" t="str">
        <f t="shared" si="0"/>
        <v/>
      </c>
    </row>
    <row r="52" spans="2:7" x14ac:dyDescent="0.2">
      <c r="B52" s="9"/>
      <c r="C52" s="22"/>
      <c r="D52" s="25"/>
      <c r="E52" s="22"/>
      <c r="F52" s="25"/>
      <c r="G52" s="11" t="str">
        <f t="shared" si="0"/>
        <v/>
      </c>
    </row>
    <row r="53" spans="2:7" x14ac:dyDescent="0.2">
      <c r="B53" s="9"/>
      <c r="C53" s="22"/>
      <c r="D53" s="25"/>
      <c r="E53" s="22"/>
      <c r="F53" s="25"/>
      <c r="G53" s="11" t="str">
        <f t="shared" si="0"/>
        <v/>
      </c>
    </row>
    <row r="54" spans="2:7" x14ac:dyDescent="0.2">
      <c r="B54" s="9"/>
      <c r="C54" s="22"/>
      <c r="D54" s="25"/>
      <c r="E54" s="22"/>
      <c r="F54" s="25"/>
      <c r="G54" s="11" t="str">
        <f t="shared" si="0"/>
        <v/>
      </c>
    </row>
    <row r="55" spans="2:7" x14ac:dyDescent="0.2">
      <c r="B55" s="9"/>
      <c r="C55" s="22"/>
      <c r="D55" s="25"/>
      <c r="E55" s="22"/>
      <c r="F55" s="25"/>
      <c r="G55" s="11" t="str">
        <f t="shared" si="0"/>
        <v/>
      </c>
    </row>
    <row r="56" spans="2:7" x14ac:dyDescent="0.2">
      <c r="B56" s="9"/>
      <c r="C56" s="22"/>
      <c r="D56" s="25"/>
      <c r="E56" s="22"/>
      <c r="F56" s="25"/>
      <c r="G56" s="11" t="str">
        <f t="shared" si="0"/>
        <v/>
      </c>
    </row>
    <row r="57" spans="2:7" x14ac:dyDescent="0.2">
      <c r="B57" s="9"/>
      <c r="C57" s="22"/>
      <c r="D57" s="25"/>
      <c r="E57" s="22"/>
      <c r="F57" s="25"/>
      <c r="G57" s="11" t="str">
        <f t="shared" si="0"/>
        <v/>
      </c>
    </row>
    <row r="58" spans="2:7" x14ac:dyDescent="0.2">
      <c r="B58" s="9"/>
      <c r="C58" s="22"/>
      <c r="D58" s="25"/>
      <c r="E58" s="22"/>
      <c r="F58" s="25"/>
      <c r="G58" s="11" t="str">
        <f t="shared" si="0"/>
        <v/>
      </c>
    </row>
    <row r="59" spans="2:7" x14ac:dyDescent="0.2">
      <c r="B59" s="9"/>
      <c r="C59" s="22"/>
      <c r="D59" s="25"/>
      <c r="E59" s="22"/>
      <c r="F59" s="25"/>
      <c r="G59" s="11" t="str">
        <f t="shared" si="0"/>
        <v/>
      </c>
    </row>
    <row r="60" spans="2:7" x14ac:dyDescent="0.2">
      <c r="B60" s="9"/>
      <c r="C60" s="22"/>
      <c r="D60" s="25"/>
      <c r="E60" s="22"/>
      <c r="F60" s="25"/>
      <c r="G60" s="11" t="str">
        <f t="shared" si="0"/>
        <v/>
      </c>
    </row>
    <row r="61" spans="2:7" x14ac:dyDescent="0.2">
      <c r="B61" s="9"/>
      <c r="C61" s="22"/>
      <c r="D61" s="25"/>
      <c r="E61" s="22"/>
      <c r="F61" s="25"/>
      <c r="G61" s="11" t="str">
        <f t="shared" si="0"/>
        <v/>
      </c>
    </row>
    <row r="62" spans="2:7" x14ac:dyDescent="0.2">
      <c r="B62" s="9"/>
      <c r="C62" s="22"/>
      <c r="D62" s="25"/>
      <c r="E62" s="22"/>
      <c r="F62" s="25"/>
      <c r="G62" s="11" t="str">
        <f t="shared" ref="G62:G93" si="1">IF(COUNT(C62:F62)&lt;4,"",IF(AND(E62=0,OR(C62&gt;=$C$23,D62&gt;=$C$24)),"ADD AS NEGATIVE",IF(AND(F62&gt;0,D62/F62&gt;$C$8),"ACOS &gt; BREAKEVEN","OK")))</f>
        <v/>
      </c>
    </row>
    <row r="63" spans="2:7" x14ac:dyDescent="0.2">
      <c r="B63" s="9"/>
      <c r="C63" s="22"/>
      <c r="D63" s="25"/>
      <c r="E63" s="22"/>
      <c r="F63" s="25"/>
      <c r="G63" s="11" t="str">
        <f t="shared" si="1"/>
        <v/>
      </c>
    </row>
    <row r="64" spans="2:7" x14ac:dyDescent="0.2">
      <c r="B64" s="9"/>
      <c r="C64" s="22"/>
      <c r="D64" s="25"/>
      <c r="E64" s="22"/>
      <c r="F64" s="25"/>
      <c r="G64" s="11" t="str">
        <f t="shared" si="1"/>
        <v/>
      </c>
    </row>
    <row r="65" spans="2:7" x14ac:dyDescent="0.2">
      <c r="B65" s="9"/>
      <c r="C65" s="22"/>
      <c r="D65" s="25"/>
      <c r="E65" s="22"/>
      <c r="F65" s="25"/>
      <c r="G65" s="11" t="str">
        <f t="shared" si="1"/>
        <v/>
      </c>
    </row>
    <row r="66" spans="2:7" x14ac:dyDescent="0.2">
      <c r="B66" s="9"/>
      <c r="C66" s="22"/>
      <c r="D66" s="25"/>
      <c r="E66" s="22"/>
      <c r="F66" s="25"/>
      <c r="G66" s="11" t="str">
        <f t="shared" si="1"/>
        <v/>
      </c>
    </row>
    <row r="67" spans="2:7" x14ac:dyDescent="0.2">
      <c r="B67" s="9"/>
      <c r="C67" s="22"/>
      <c r="D67" s="25"/>
      <c r="E67" s="22"/>
      <c r="F67" s="25"/>
      <c r="G67" s="11" t="str">
        <f t="shared" si="1"/>
        <v/>
      </c>
    </row>
    <row r="68" spans="2:7" x14ac:dyDescent="0.2">
      <c r="B68" s="9"/>
      <c r="C68" s="22"/>
      <c r="D68" s="25"/>
      <c r="E68" s="22"/>
      <c r="F68" s="25"/>
      <c r="G68" s="11" t="str">
        <f t="shared" si="1"/>
        <v/>
      </c>
    </row>
    <row r="69" spans="2:7" x14ac:dyDescent="0.2">
      <c r="B69" s="9"/>
      <c r="C69" s="22"/>
      <c r="D69" s="25"/>
      <c r="E69" s="22"/>
      <c r="F69" s="25"/>
      <c r="G69" s="11" t="str">
        <f t="shared" si="1"/>
        <v/>
      </c>
    </row>
    <row r="70" spans="2:7" x14ac:dyDescent="0.2">
      <c r="B70" s="9"/>
      <c r="C70" s="22"/>
      <c r="D70" s="25"/>
      <c r="E70" s="22"/>
      <c r="F70" s="25"/>
      <c r="G70" s="11" t="str">
        <f t="shared" si="1"/>
        <v/>
      </c>
    </row>
    <row r="71" spans="2:7" x14ac:dyDescent="0.2">
      <c r="B71" s="9"/>
      <c r="C71" s="22"/>
      <c r="D71" s="25"/>
      <c r="E71" s="22"/>
      <c r="F71" s="25"/>
      <c r="G71" s="11" t="str">
        <f t="shared" si="1"/>
        <v/>
      </c>
    </row>
    <row r="72" spans="2:7" x14ac:dyDescent="0.2">
      <c r="B72" s="9"/>
      <c r="C72" s="22"/>
      <c r="D72" s="25"/>
      <c r="E72" s="22"/>
      <c r="F72" s="25"/>
      <c r="G72" s="11" t="str">
        <f t="shared" si="1"/>
        <v/>
      </c>
    </row>
    <row r="73" spans="2:7" x14ac:dyDescent="0.2">
      <c r="B73" s="9"/>
      <c r="C73" s="22"/>
      <c r="D73" s="25"/>
      <c r="E73" s="22"/>
      <c r="F73" s="25"/>
      <c r="G73" s="11" t="str">
        <f t="shared" si="1"/>
        <v/>
      </c>
    </row>
    <row r="74" spans="2:7" x14ac:dyDescent="0.2">
      <c r="B74" s="9"/>
      <c r="C74" s="22"/>
      <c r="D74" s="25"/>
      <c r="E74" s="22"/>
      <c r="F74" s="25"/>
      <c r="G74" s="11" t="str">
        <f t="shared" si="1"/>
        <v/>
      </c>
    </row>
    <row r="75" spans="2:7" x14ac:dyDescent="0.2">
      <c r="B75" s="9"/>
      <c r="C75" s="22"/>
      <c r="D75" s="25"/>
      <c r="E75" s="22"/>
      <c r="F75" s="25"/>
      <c r="G75" s="11" t="str">
        <f t="shared" si="1"/>
        <v/>
      </c>
    </row>
    <row r="76" spans="2:7" x14ac:dyDescent="0.2">
      <c r="B76" s="9"/>
      <c r="C76" s="22"/>
      <c r="D76" s="25"/>
      <c r="E76" s="22"/>
      <c r="F76" s="25"/>
      <c r="G76" s="11" t="str">
        <f t="shared" si="1"/>
        <v/>
      </c>
    </row>
    <row r="77" spans="2:7" x14ac:dyDescent="0.2">
      <c r="B77" s="9"/>
      <c r="C77" s="22"/>
      <c r="D77" s="25"/>
      <c r="E77" s="22"/>
      <c r="F77" s="25"/>
      <c r="G77" s="11" t="str">
        <f t="shared" si="1"/>
        <v/>
      </c>
    </row>
    <row r="78" spans="2:7" x14ac:dyDescent="0.2">
      <c r="B78" s="9"/>
      <c r="C78" s="22"/>
      <c r="D78" s="25"/>
      <c r="E78" s="22"/>
      <c r="F78" s="25"/>
      <c r="G78" s="11" t="str">
        <f t="shared" si="1"/>
        <v/>
      </c>
    </row>
    <row r="79" spans="2:7" x14ac:dyDescent="0.2">
      <c r="B79" s="9"/>
      <c r="C79" s="22"/>
      <c r="D79" s="25"/>
      <c r="E79" s="22"/>
      <c r="F79" s="25"/>
      <c r="G79" s="11" t="str">
        <f t="shared" si="1"/>
        <v/>
      </c>
    </row>
    <row r="80" spans="2:7" x14ac:dyDescent="0.2">
      <c r="B80" s="9"/>
      <c r="C80" s="22"/>
      <c r="D80" s="25"/>
      <c r="E80" s="22"/>
      <c r="F80" s="25"/>
      <c r="G80" s="11" t="str">
        <f t="shared" si="1"/>
        <v/>
      </c>
    </row>
    <row r="81" spans="2:7" x14ac:dyDescent="0.2">
      <c r="B81" s="9"/>
      <c r="C81" s="22"/>
      <c r="D81" s="25"/>
      <c r="E81" s="22"/>
      <c r="F81" s="25"/>
      <c r="G81" s="11" t="str">
        <f t="shared" si="1"/>
        <v/>
      </c>
    </row>
    <row r="82" spans="2:7" x14ac:dyDescent="0.2">
      <c r="B82" s="9"/>
      <c r="C82" s="22"/>
      <c r="D82" s="25"/>
      <c r="E82" s="22"/>
      <c r="F82" s="25"/>
      <c r="G82" s="11" t="str">
        <f t="shared" si="1"/>
        <v/>
      </c>
    </row>
    <row r="83" spans="2:7" x14ac:dyDescent="0.2">
      <c r="B83" s="9"/>
      <c r="C83" s="22"/>
      <c r="D83" s="25"/>
      <c r="E83" s="22"/>
      <c r="F83" s="25"/>
      <c r="G83" s="11" t="str">
        <f t="shared" si="1"/>
        <v/>
      </c>
    </row>
    <row r="84" spans="2:7" x14ac:dyDescent="0.2">
      <c r="B84" s="9"/>
      <c r="C84" s="22"/>
      <c r="D84" s="25"/>
      <c r="E84" s="22"/>
      <c r="F84" s="25"/>
      <c r="G84" s="11" t="str">
        <f t="shared" si="1"/>
        <v/>
      </c>
    </row>
    <row r="85" spans="2:7" x14ac:dyDescent="0.2">
      <c r="B85" s="9"/>
      <c r="C85" s="22"/>
      <c r="D85" s="25"/>
      <c r="E85" s="22"/>
      <c r="F85" s="25"/>
      <c r="G85" s="11" t="str">
        <f t="shared" si="1"/>
        <v/>
      </c>
    </row>
    <row r="86" spans="2:7" x14ac:dyDescent="0.2">
      <c r="B86" s="9"/>
      <c r="C86" s="22"/>
      <c r="D86" s="25"/>
      <c r="E86" s="22"/>
      <c r="F86" s="25"/>
      <c r="G86" s="11" t="str">
        <f t="shared" si="1"/>
        <v/>
      </c>
    </row>
    <row r="87" spans="2:7" x14ac:dyDescent="0.2">
      <c r="B87" s="9"/>
      <c r="C87" s="22"/>
      <c r="D87" s="25"/>
      <c r="E87" s="22"/>
      <c r="F87" s="25"/>
      <c r="G87" s="11" t="str">
        <f t="shared" si="1"/>
        <v/>
      </c>
    </row>
    <row r="88" spans="2:7" x14ac:dyDescent="0.2">
      <c r="B88" s="9"/>
      <c r="C88" s="22"/>
      <c r="D88" s="25"/>
      <c r="E88" s="22"/>
      <c r="F88" s="25"/>
      <c r="G88" s="11" t="str">
        <f t="shared" si="1"/>
        <v/>
      </c>
    </row>
    <row r="89" spans="2:7" x14ac:dyDescent="0.2">
      <c r="B89" s="9"/>
      <c r="C89" s="22"/>
      <c r="D89" s="25"/>
      <c r="E89" s="22"/>
      <c r="F89" s="25"/>
      <c r="G89" s="11" t="str">
        <f t="shared" si="1"/>
        <v/>
      </c>
    </row>
    <row r="90" spans="2:7" x14ac:dyDescent="0.2">
      <c r="B90" s="9"/>
      <c r="C90" s="22"/>
      <c r="D90" s="25"/>
      <c r="E90" s="22"/>
      <c r="F90" s="25"/>
      <c r="G90" s="11" t="str">
        <f t="shared" si="1"/>
        <v/>
      </c>
    </row>
    <row r="91" spans="2:7" x14ac:dyDescent="0.2">
      <c r="B91" s="9"/>
      <c r="C91" s="22"/>
      <c r="D91" s="25"/>
      <c r="E91" s="22"/>
      <c r="F91" s="25"/>
      <c r="G91" s="11" t="str">
        <f t="shared" si="1"/>
        <v/>
      </c>
    </row>
    <row r="92" spans="2:7" x14ac:dyDescent="0.2">
      <c r="B92" s="9"/>
      <c r="C92" s="22"/>
      <c r="D92" s="25"/>
      <c r="E92" s="22"/>
      <c r="F92" s="25"/>
      <c r="G92" s="11" t="str">
        <f t="shared" si="1"/>
        <v/>
      </c>
    </row>
    <row r="93" spans="2:7" x14ac:dyDescent="0.2">
      <c r="B93" s="9"/>
      <c r="C93" s="22"/>
      <c r="D93" s="25"/>
      <c r="E93" s="22"/>
      <c r="F93" s="25"/>
      <c r="G93" s="11" t="str">
        <f t="shared" si="1"/>
        <v/>
      </c>
    </row>
    <row r="94" spans="2:7" x14ac:dyDescent="0.2">
      <c r="B94" s="9"/>
      <c r="C94" s="22"/>
      <c r="D94" s="25"/>
      <c r="E94" s="22"/>
      <c r="F94" s="25"/>
      <c r="G94" s="11" t="str">
        <f t="shared" ref="G94:G125" si="2">IF(COUNT(C94:F94)&lt;4,"",IF(AND(E94=0,OR(C94&gt;=$C$23,D94&gt;=$C$24)),"ADD AS NEGATIVE",IF(AND(F94&gt;0,D94/F94&gt;$C$8),"ACOS &gt; BREAKEVEN","OK")))</f>
        <v/>
      </c>
    </row>
    <row r="95" spans="2:7" x14ac:dyDescent="0.2">
      <c r="B95" s="9"/>
      <c r="C95" s="22"/>
      <c r="D95" s="25"/>
      <c r="E95" s="22"/>
      <c r="F95" s="25"/>
      <c r="G95" s="11" t="str">
        <f t="shared" si="2"/>
        <v/>
      </c>
    </row>
    <row r="96" spans="2:7" x14ac:dyDescent="0.2">
      <c r="B96" s="9"/>
      <c r="C96" s="22"/>
      <c r="D96" s="25"/>
      <c r="E96" s="22"/>
      <c r="F96" s="25"/>
      <c r="G96" s="11" t="str">
        <f t="shared" si="2"/>
        <v/>
      </c>
    </row>
    <row r="97" spans="2:7" x14ac:dyDescent="0.2">
      <c r="B97" s="9"/>
      <c r="C97" s="22"/>
      <c r="D97" s="25"/>
      <c r="E97" s="22"/>
      <c r="F97" s="25"/>
      <c r="G97" s="11" t="str">
        <f t="shared" si="2"/>
        <v/>
      </c>
    </row>
    <row r="98" spans="2:7" x14ac:dyDescent="0.2">
      <c r="B98" s="9"/>
      <c r="C98" s="22"/>
      <c r="D98" s="25"/>
      <c r="E98" s="22"/>
      <c r="F98" s="25"/>
      <c r="G98" s="11" t="str">
        <f t="shared" si="2"/>
        <v/>
      </c>
    </row>
    <row r="99" spans="2:7" x14ac:dyDescent="0.2">
      <c r="B99" s="9"/>
      <c r="C99" s="22"/>
      <c r="D99" s="25"/>
      <c r="E99" s="22"/>
      <c r="F99" s="25"/>
      <c r="G99" s="11" t="str">
        <f t="shared" si="2"/>
        <v/>
      </c>
    </row>
    <row r="100" spans="2:7" x14ac:dyDescent="0.2">
      <c r="B100" s="9"/>
      <c r="C100" s="22"/>
      <c r="D100" s="25"/>
      <c r="E100" s="22"/>
      <c r="F100" s="25"/>
      <c r="G100" s="11" t="str">
        <f t="shared" si="2"/>
        <v/>
      </c>
    </row>
    <row r="101" spans="2:7" x14ac:dyDescent="0.2">
      <c r="B101" s="9"/>
      <c r="C101" s="22"/>
      <c r="D101" s="25"/>
      <c r="E101" s="22"/>
      <c r="F101" s="25"/>
      <c r="G101" s="11" t="str">
        <f t="shared" si="2"/>
        <v/>
      </c>
    </row>
    <row r="102" spans="2:7" x14ac:dyDescent="0.2">
      <c r="B102" s="9"/>
      <c r="C102" s="22"/>
      <c r="D102" s="25"/>
      <c r="E102" s="22"/>
      <c r="F102" s="25"/>
      <c r="G102" s="11" t="str">
        <f t="shared" si="2"/>
        <v/>
      </c>
    </row>
    <row r="103" spans="2:7" x14ac:dyDescent="0.2">
      <c r="B103" s="9"/>
      <c r="C103" s="22"/>
      <c r="D103" s="25"/>
      <c r="E103" s="22"/>
      <c r="F103" s="25"/>
      <c r="G103" s="11" t="str">
        <f t="shared" si="2"/>
        <v/>
      </c>
    </row>
    <row r="104" spans="2:7" x14ac:dyDescent="0.2">
      <c r="B104" s="9"/>
      <c r="C104" s="22"/>
      <c r="D104" s="25"/>
      <c r="E104" s="22"/>
      <c r="F104" s="25"/>
      <c r="G104" s="11" t="str">
        <f t="shared" si="2"/>
        <v/>
      </c>
    </row>
    <row r="105" spans="2:7" x14ac:dyDescent="0.2">
      <c r="B105" s="9"/>
      <c r="C105" s="22"/>
      <c r="D105" s="25"/>
      <c r="E105" s="22"/>
      <c r="F105" s="25"/>
      <c r="G105" s="11" t="str">
        <f t="shared" si="2"/>
        <v/>
      </c>
    </row>
    <row r="106" spans="2:7" x14ac:dyDescent="0.2">
      <c r="B106" s="9"/>
      <c r="C106" s="22"/>
      <c r="D106" s="25"/>
      <c r="E106" s="22"/>
      <c r="F106" s="25"/>
      <c r="G106" s="11" t="str">
        <f t="shared" si="2"/>
        <v/>
      </c>
    </row>
    <row r="107" spans="2:7" x14ac:dyDescent="0.2">
      <c r="B107" s="9"/>
      <c r="C107" s="22"/>
      <c r="D107" s="25"/>
      <c r="E107" s="22"/>
      <c r="F107" s="25"/>
      <c r="G107" s="11" t="str">
        <f t="shared" si="2"/>
        <v/>
      </c>
    </row>
    <row r="108" spans="2:7" x14ac:dyDescent="0.2">
      <c r="B108" s="9"/>
      <c r="C108" s="22"/>
      <c r="D108" s="25"/>
      <c r="E108" s="22"/>
      <c r="F108" s="25"/>
      <c r="G108" s="11" t="str">
        <f t="shared" si="2"/>
        <v/>
      </c>
    </row>
    <row r="109" spans="2:7" x14ac:dyDescent="0.2">
      <c r="B109" s="9"/>
      <c r="C109" s="22"/>
      <c r="D109" s="25"/>
      <c r="E109" s="22"/>
      <c r="F109" s="25"/>
      <c r="G109" s="11" t="str">
        <f t="shared" si="2"/>
        <v/>
      </c>
    </row>
    <row r="110" spans="2:7" x14ac:dyDescent="0.2">
      <c r="B110" s="9"/>
      <c r="C110" s="22"/>
      <c r="D110" s="25"/>
      <c r="E110" s="22"/>
      <c r="F110" s="25"/>
      <c r="G110" s="11" t="str">
        <f t="shared" si="2"/>
        <v/>
      </c>
    </row>
    <row r="111" spans="2:7" x14ac:dyDescent="0.2">
      <c r="B111" s="9"/>
      <c r="C111" s="22"/>
      <c r="D111" s="25"/>
      <c r="E111" s="22"/>
      <c r="F111" s="25"/>
      <c r="G111" s="11" t="str">
        <f t="shared" si="2"/>
        <v/>
      </c>
    </row>
    <row r="112" spans="2:7" x14ac:dyDescent="0.2">
      <c r="B112" s="9"/>
      <c r="C112" s="22"/>
      <c r="D112" s="25"/>
      <c r="E112" s="22"/>
      <c r="F112" s="25"/>
      <c r="G112" s="11" t="str">
        <f t="shared" si="2"/>
        <v/>
      </c>
    </row>
    <row r="113" spans="2:7" x14ac:dyDescent="0.2">
      <c r="B113" s="9"/>
      <c r="C113" s="22"/>
      <c r="D113" s="25"/>
      <c r="E113" s="22"/>
      <c r="F113" s="25"/>
      <c r="G113" s="11" t="str">
        <f t="shared" si="2"/>
        <v/>
      </c>
    </row>
    <row r="114" spans="2:7" x14ac:dyDescent="0.2">
      <c r="B114" s="9"/>
      <c r="C114" s="22"/>
      <c r="D114" s="25"/>
      <c r="E114" s="22"/>
      <c r="F114" s="25"/>
      <c r="G114" s="11" t="str">
        <f t="shared" si="2"/>
        <v/>
      </c>
    </row>
    <row r="115" spans="2:7" x14ac:dyDescent="0.2">
      <c r="B115" s="9"/>
      <c r="C115" s="22"/>
      <c r="D115" s="25"/>
      <c r="E115" s="22"/>
      <c r="F115" s="25"/>
      <c r="G115" s="11" t="str">
        <f t="shared" si="2"/>
        <v/>
      </c>
    </row>
    <row r="116" spans="2:7" x14ac:dyDescent="0.2">
      <c r="B116" s="9"/>
      <c r="C116" s="22"/>
      <c r="D116" s="25"/>
      <c r="E116" s="22"/>
      <c r="F116" s="25"/>
      <c r="G116" s="11" t="str">
        <f t="shared" si="2"/>
        <v/>
      </c>
    </row>
    <row r="117" spans="2:7" x14ac:dyDescent="0.2">
      <c r="B117" s="9"/>
      <c r="C117" s="22"/>
      <c r="D117" s="25"/>
      <c r="E117" s="22"/>
      <c r="F117" s="25"/>
      <c r="G117" s="11" t="str">
        <f t="shared" si="2"/>
        <v/>
      </c>
    </row>
    <row r="118" spans="2:7" x14ac:dyDescent="0.2">
      <c r="B118" s="9"/>
      <c r="C118" s="22"/>
      <c r="D118" s="25"/>
      <c r="E118" s="22"/>
      <c r="F118" s="25"/>
      <c r="G118" s="11" t="str">
        <f t="shared" si="2"/>
        <v/>
      </c>
    </row>
    <row r="119" spans="2:7" x14ac:dyDescent="0.2">
      <c r="B119" s="9"/>
      <c r="C119" s="22"/>
      <c r="D119" s="25"/>
      <c r="E119" s="22"/>
      <c r="F119" s="25"/>
      <c r="G119" s="11" t="str">
        <f t="shared" si="2"/>
        <v/>
      </c>
    </row>
    <row r="120" spans="2:7" x14ac:dyDescent="0.2">
      <c r="B120" s="9"/>
      <c r="C120" s="22"/>
      <c r="D120" s="25"/>
      <c r="E120" s="22"/>
      <c r="F120" s="25"/>
      <c r="G120" s="11" t="str">
        <f t="shared" si="2"/>
        <v/>
      </c>
    </row>
    <row r="121" spans="2:7" x14ac:dyDescent="0.2">
      <c r="B121" s="9"/>
      <c r="C121" s="22"/>
      <c r="D121" s="25"/>
      <c r="E121" s="22"/>
      <c r="F121" s="25"/>
      <c r="G121" s="11" t="str">
        <f t="shared" si="2"/>
        <v/>
      </c>
    </row>
    <row r="122" spans="2:7" x14ac:dyDescent="0.2">
      <c r="B122" s="9"/>
      <c r="C122" s="22"/>
      <c r="D122" s="25"/>
      <c r="E122" s="22"/>
      <c r="F122" s="25"/>
      <c r="G122" s="11" t="str">
        <f t="shared" si="2"/>
        <v/>
      </c>
    </row>
    <row r="123" spans="2:7" x14ac:dyDescent="0.2">
      <c r="B123" s="9"/>
      <c r="C123" s="22"/>
      <c r="D123" s="25"/>
      <c r="E123" s="22"/>
      <c r="F123" s="25"/>
      <c r="G123" s="11" t="str">
        <f t="shared" si="2"/>
        <v/>
      </c>
    </row>
    <row r="124" spans="2:7" x14ac:dyDescent="0.2">
      <c r="B124" s="9"/>
      <c r="C124" s="22"/>
      <c r="D124" s="25"/>
      <c r="E124" s="22"/>
      <c r="F124" s="25"/>
      <c r="G124" s="11" t="str">
        <f t="shared" si="2"/>
        <v/>
      </c>
    </row>
    <row r="125" spans="2:7" x14ac:dyDescent="0.2">
      <c r="B125" s="9"/>
      <c r="C125" s="22"/>
      <c r="D125" s="25"/>
      <c r="E125" s="22"/>
      <c r="F125" s="25"/>
      <c r="G125" s="11" t="str">
        <f t="shared" si="2"/>
        <v/>
      </c>
    </row>
    <row r="126" spans="2:7" x14ac:dyDescent="0.2">
      <c r="B126" s="9"/>
      <c r="C126" s="22"/>
      <c r="D126" s="25"/>
      <c r="E126" s="22"/>
      <c r="F126" s="25"/>
      <c r="G126" s="11" t="str">
        <f t="shared" ref="G126:G157" si="3">IF(COUNT(C126:F126)&lt;4,"",IF(AND(E126=0,OR(C126&gt;=$C$23,D126&gt;=$C$24)),"ADD AS NEGATIVE",IF(AND(F126&gt;0,D126/F126&gt;$C$8),"ACOS &gt; BREAKEVEN","OK")))</f>
        <v/>
      </c>
    </row>
    <row r="127" spans="2:7" x14ac:dyDescent="0.2">
      <c r="B127" s="9"/>
      <c r="C127" s="22"/>
      <c r="D127" s="25"/>
      <c r="E127" s="22"/>
      <c r="F127" s="25"/>
      <c r="G127" s="11" t="str">
        <f t="shared" si="3"/>
        <v/>
      </c>
    </row>
    <row r="128" spans="2:7" x14ac:dyDescent="0.2">
      <c r="B128" s="9"/>
      <c r="C128" s="22"/>
      <c r="D128" s="25"/>
      <c r="E128" s="22"/>
      <c r="F128" s="25"/>
      <c r="G128" s="11" t="str">
        <f t="shared" si="3"/>
        <v/>
      </c>
    </row>
    <row r="129" spans="2:7" x14ac:dyDescent="0.2">
      <c r="B129" s="9"/>
      <c r="C129" s="22"/>
      <c r="D129" s="25"/>
      <c r="E129" s="22"/>
      <c r="F129" s="25"/>
      <c r="G129" s="11" t="str">
        <f t="shared" si="3"/>
        <v/>
      </c>
    </row>
    <row r="130" spans="2:7" x14ac:dyDescent="0.2">
      <c r="B130" s="9"/>
      <c r="C130" s="22"/>
      <c r="D130" s="25"/>
      <c r="E130" s="22"/>
      <c r="F130" s="25"/>
      <c r="G130" s="11" t="str">
        <f t="shared" si="3"/>
        <v/>
      </c>
    </row>
    <row r="131" spans="2:7" x14ac:dyDescent="0.2">
      <c r="B131" s="9"/>
      <c r="C131" s="22"/>
      <c r="D131" s="25"/>
      <c r="E131" s="22"/>
      <c r="F131" s="25"/>
      <c r="G131" s="11" t="str">
        <f t="shared" si="3"/>
        <v/>
      </c>
    </row>
    <row r="132" spans="2:7" x14ac:dyDescent="0.2">
      <c r="B132" s="9"/>
      <c r="C132" s="22"/>
      <c r="D132" s="25"/>
      <c r="E132" s="22"/>
      <c r="F132" s="25"/>
      <c r="G132" s="11" t="str">
        <f t="shared" si="3"/>
        <v/>
      </c>
    </row>
    <row r="133" spans="2:7" x14ac:dyDescent="0.2">
      <c r="B133" s="9"/>
      <c r="C133" s="22"/>
      <c r="D133" s="25"/>
      <c r="E133" s="22"/>
      <c r="F133" s="25"/>
      <c r="G133" s="11" t="str">
        <f t="shared" si="3"/>
        <v/>
      </c>
    </row>
    <row r="134" spans="2:7" x14ac:dyDescent="0.2">
      <c r="B134" s="9"/>
      <c r="C134" s="22"/>
      <c r="D134" s="25"/>
      <c r="E134" s="22"/>
      <c r="F134" s="25"/>
      <c r="G134" s="11" t="str">
        <f t="shared" si="3"/>
        <v/>
      </c>
    </row>
    <row r="135" spans="2:7" x14ac:dyDescent="0.2">
      <c r="B135" s="9"/>
      <c r="C135" s="22"/>
      <c r="D135" s="25"/>
      <c r="E135" s="22"/>
      <c r="F135" s="25"/>
      <c r="G135" s="11" t="str">
        <f t="shared" si="3"/>
        <v/>
      </c>
    </row>
    <row r="136" spans="2:7" x14ac:dyDescent="0.2">
      <c r="B136" s="9"/>
      <c r="C136" s="22"/>
      <c r="D136" s="25"/>
      <c r="E136" s="22"/>
      <c r="F136" s="25"/>
      <c r="G136" s="11" t="str">
        <f t="shared" si="3"/>
        <v/>
      </c>
    </row>
    <row r="137" spans="2:7" x14ac:dyDescent="0.2">
      <c r="B137" s="9"/>
      <c r="C137" s="22"/>
      <c r="D137" s="25"/>
      <c r="E137" s="22"/>
      <c r="F137" s="25"/>
      <c r="G137" s="11" t="str">
        <f t="shared" si="3"/>
        <v/>
      </c>
    </row>
    <row r="138" spans="2:7" x14ac:dyDescent="0.2">
      <c r="B138" s="9"/>
      <c r="C138" s="22"/>
      <c r="D138" s="25"/>
      <c r="E138" s="22"/>
      <c r="F138" s="25"/>
      <c r="G138" s="11" t="str">
        <f t="shared" si="3"/>
        <v/>
      </c>
    </row>
    <row r="139" spans="2:7" x14ac:dyDescent="0.2">
      <c r="B139" s="9"/>
      <c r="C139" s="22"/>
      <c r="D139" s="25"/>
      <c r="E139" s="22"/>
      <c r="F139" s="25"/>
      <c r="G139" s="11" t="str">
        <f t="shared" si="3"/>
        <v/>
      </c>
    </row>
    <row r="140" spans="2:7" x14ac:dyDescent="0.2">
      <c r="B140" s="9"/>
      <c r="C140" s="22"/>
      <c r="D140" s="25"/>
      <c r="E140" s="22"/>
      <c r="F140" s="25"/>
      <c r="G140" s="11" t="str">
        <f t="shared" si="3"/>
        <v/>
      </c>
    </row>
    <row r="141" spans="2:7" x14ac:dyDescent="0.2">
      <c r="B141" s="9"/>
      <c r="C141" s="22"/>
      <c r="D141" s="25"/>
      <c r="E141" s="22"/>
      <c r="F141" s="25"/>
      <c r="G141" s="11" t="str">
        <f t="shared" si="3"/>
        <v/>
      </c>
    </row>
    <row r="142" spans="2:7" x14ac:dyDescent="0.2">
      <c r="B142" s="9"/>
      <c r="C142" s="22"/>
      <c r="D142" s="25"/>
      <c r="E142" s="22"/>
      <c r="F142" s="25"/>
      <c r="G142" s="11" t="str">
        <f t="shared" si="3"/>
        <v/>
      </c>
    </row>
    <row r="143" spans="2:7" x14ac:dyDescent="0.2">
      <c r="B143" s="9"/>
      <c r="C143" s="22"/>
      <c r="D143" s="25"/>
      <c r="E143" s="22"/>
      <c r="F143" s="25"/>
      <c r="G143" s="11" t="str">
        <f t="shared" si="3"/>
        <v/>
      </c>
    </row>
    <row r="144" spans="2:7" x14ac:dyDescent="0.2">
      <c r="B144" s="9"/>
      <c r="C144" s="22"/>
      <c r="D144" s="25"/>
      <c r="E144" s="22"/>
      <c r="F144" s="25"/>
      <c r="G144" s="11" t="str">
        <f t="shared" si="3"/>
        <v/>
      </c>
    </row>
    <row r="145" spans="2:7" x14ac:dyDescent="0.2">
      <c r="B145" s="9"/>
      <c r="C145" s="22"/>
      <c r="D145" s="25"/>
      <c r="E145" s="22"/>
      <c r="F145" s="25"/>
      <c r="G145" s="11" t="str">
        <f t="shared" si="3"/>
        <v/>
      </c>
    </row>
    <row r="146" spans="2:7" x14ac:dyDescent="0.2">
      <c r="B146" s="9"/>
      <c r="C146" s="22"/>
      <c r="D146" s="25"/>
      <c r="E146" s="22"/>
      <c r="F146" s="25"/>
      <c r="G146" s="11" t="str">
        <f t="shared" si="3"/>
        <v/>
      </c>
    </row>
    <row r="147" spans="2:7" x14ac:dyDescent="0.2">
      <c r="B147" s="9"/>
      <c r="C147" s="22"/>
      <c r="D147" s="25"/>
      <c r="E147" s="22"/>
      <c r="F147" s="25"/>
      <c r="G147" s="11" t="str">
        <f t="shared" si="3"/>
        <v/>
      </c>
    </row>
    <row r="148" spans="2:7" x14ac:dyDescent="0.2">
      <c r="B148" s="9"/>
      <c r="C148" s="22"/>
      <c r="D148" s="25"/>
      <c r="E148" s="22"/>
      <c r="F148" s="25"/>
      <c r="G148" s="11" t="str">
        <f t="shared" si="3"/>
        <v/>
      </c>
    </row>
    <row r="149" spans="2:7" x14ac:dyDescent="0.2">
      <c r="B149" s="9"/>
      <c r="C149" s="22"/>
      <c r="D149" s="25"/>
      <c r="E149" s="22"/>
      <c r="F149" s="25"/>
      <c r="G149" s="11" t="str">
        <f t="shared" si="3"/>
        <v/>
      </c>
    </row>
    <row r="150" spans="2:7" x14ac:dyDescent="0.2">
      <c r="B150" s="9"/>
      <c r="C150" s="22"/>
      <c r="D150" s="25"/>
      <c r="E150" s="22"/>
      <c r="F150" s="25"/>
      <c r="G150" s="11" t="str">
        <f t="shared" si="3"/>
        <v/>
      </c>
    </row>
    <row r="151" spans="2:7" x14ac:dyDescent="0.2">
      <c r="B151" s="9"/>
      <c r="C151" s="22"/>
      <c r="D151" s="25"/>
      <c r="E151" s="22"/>
      <c r="F151" s="25"/>
      <c r="G151" s="11" t="str">
        <f t="shared" si="3"/>
        <v/>
      </c>
    </row>
    <row r="152" spans="2:7" x14ac:dyDescent="0.2">
      <c r="B152" s="9"/>
      <c r="C152" s="22"/>
      <c r="D152" s="25"/>
      <c r="E152" s="22"/>
      <c r="F152" s="25"/>
      <c r="G152" s="11" t="str">
        <f t="shared" si="3"/>
        <v/>
      </c>
    </row>
    <row r="153" spans="2:7" x14ac:dyDescent="0.2">
      <c r="B153" s="9"/>
      <c r="C153" s="22"/>
      <c r="D153" s="25"/>
      <c r="E153" s="22"/>
      <c r="F153" s="25"/>
      <c r="G153" s="11" t="str">
        <f t="shared" si="3"/>
        <v/>
      </c>
    </row>
    <row r="154" spans="2:7" x14ac:dyDescent="0.2">
      <c r="B154" s="9"/>
      <c r="C154" s="22"/>
      <c r="D154" s="25"/>
      <c r="E154" s="22"/>
      <c r="F154" s="25"/>
      <c r="G154" s="11" t="str">
        <f t="shared" si="3"/>
        <v/>
      </c>
    </row>
    <row r="155" spans="2:7" x14ac:dyDescent="0.2">
      <c r="B155" s="9"/>
      <c r="C155" s="22"/>
      <c r="D155" s="25"/>
      <c r="E155" s="22"/>
      <c r="F155" s="25"/>
      <c r="G155" s="11" t="str">
        <f t="shared" si="3"/>
        <v/>
      </c>
    </row>
    <row r="156" spans="2:7" x14ac:dyDescent="0.2">
      <c r="B156" s="9"/>
      <c r="C156" s="22"/>
      <c r="D156" s="25"/>
      <c r="E156" s="22"/>
      <c r="F156" s="25"/>
      <c r="G156" s="11" t="str">
        <f t="shared" si="3"/>
        <v/>
      </c>
    </row>
    <row r="157" spans="2:7" x14ac:dyDescent="0.2">
      <c r="B157" s="9"/>
      <c r="C157" s="22"/>
      <c r="D157" s="25"/>
      <c r="E157" s="22"/>
      <c r="F157" s="25"/>
      <c r="G157" s="11" t="str">
        <f t="shared" si="3"/>
        <v/>
      </c>
    </row>
    <row r="158" spans="2:7" x14ac:dyDescent="0.2">
      <c r="B158" s="9"/>
      <c r="C158" s="22"/>
      <c r="D158" s="25"/>
      <c r="E158" s="22"/>
      <c r="F158" s="25"/>
      <c r="G158" s="11" t="str">
        <f t="shared" ref="G158:G189" si="4">IF(COUNT(C158:F158)&lt;4,"",IF(AND(E158=0,OR(C158&gt;=$C$23,D158&gt;=$C$24)),"ADD AS NEGATIVE",IF(AND(F158&gt;0,D158/F158&gt;$C$8),"ACOS &gt; BREAKEVEN","OK")))</f>
        <v/>
      </c>
    </row>
    <row r="159" spans="2:7" x14ac:dyDescent="0.2">
      <c r="B159" s="9"/>
      <c r="C159" s="22"/>
      <c r="D159" s="25"/>
      <c r="E159" s="22"/>
      <c r="F159" s="25"/>
      <c r="G159" s="11" t="str">
        <f t="shared" si="4"/>
        <v/>
      </c>
    </row>
    <row r="160" spans="2:7" x14ac:dyDescent="0.2">
      <c r="B160" s="9"/>
      <c r="C160" s="22"/>
      <c r="D160" s="25"/>
      <c r="E160" s="22"/>
      <c r="F160" s="25"/>
      <c r="G160" s="11" t="str">
        <f t="shared" si="4"/>
        <v/>
      </c>
    </row>
    <row r="161" spans="2:7" x14ac:dyDescent="0.2">
      <c r="B161" s="9"/>
      <c r="C161" s="22"/>
      <c r="D161" s="25"/>
      <c r="E161" s="22"/>
      <c r="F161" s="25"/>
      <c r="G161" s="11" t="str">
        <f t="shared" si="4"/>
        <v/>
      </c>
    </row>
    <row r="162" spans="2:7" x14ac:dyDescent="0.2">
      <c r="B162" s="9"/>
      <c r="C162" s="22"/>
      <c r="D162" s="25"/>
      <c r="E162" s="22"/>
      <c r="F162" s="25"/>
      <c r="G162" s="11" t="str">
        <f t="shared" si="4"/>
        <v/>
      </c>
    </row>
    <row r="163" spans="2:7" x14ac:dyDescent="0.2">
      <c r="B163" s="9"/>
      <c r="C163" s="22"/>
      <c r="D163" s="25"/>
      <c r="E163" s="22"/>
      <c r="F163" s="25"/>
      <c r="G163" s="11" t="str">
        <f t="shared" si="4"/>
        <v/>
      </c>
    </row>
    <row r="164" spans="2:7" x14ac:dyDescent="0.2">
      <c r="B164" s="9"/>
      <c r="C164" s="22"/>
      <c r="D164" s="25"/>
      <c r="E164" s="22"/>
      <c r="F164" s="25"/>
      <c r="G164" s="11" t="str">
        <f t="shared" si="4"/>
        <v/>
      </c>
    </row>
    <row r="165" spans="2:7" x14ac:dyDescent="0.2">
      <c r="B165" s="9"/>
      <c r="C165" s="22"/>
      <c r="D165" s="25"/>
      <c r="E165" s="22"/>
      <c r="F165" s="25"/>
      <c r="G165" s="11" t="str">
        <f t="shared" si="4"/>
        <v/>
      </c>
    </row>
    <row r="166" spans="2:7" x14ac:dyDescent="0.2">
      <c r="B166" s="9"/>
      <c r="C166" s="22"/>
      <c r="D166" s="25"/>
      <c r="E166" s="22"/>
      <c r="F166" s="25"/>
      <c r="G166" s="11" t="str">
        <f t="shared" si="4"/>
        <v/>
      </c>
    </row>
    <row r="167" spans="2:7" x14ac:dyDescent="0.2">
      <c r="B167" s="9"/>
      <c r="C167" s="22"/>
      <c r="D167" s="25"/>
      <c r="E167" s="22"/>
      <c r="F167" s="25"/>
      <c r="G167" s="11" t="str">
        <f t="shared" si="4"/>
        <v/>
      </c>
    </row>
    <row r="168" spans="2:7" x14ac:dyDescent="0.2">
      <c r="B168" s="9"/>
      <c r="C168" s="22"/>
      <c r="D168" s="25"/>
      <c r="E168" s="22"/>
      <c r="F168" s="25"/>
      <c r="G168" s="11" t="str">
        <f t="shared" si="4"/>
        <v/>
      </c>
    </row>
    <row r="169" spans="2:7" x14ac:dyDescent="0.2">
      <c r="B169" s="9"/>
      <c r="C169" s="22"/>
      <c r="D169" s="25"/>
      <c r="E169" s="22"/>
      <c r="F169" s="25"/>
      <c r="G169" s="11" t="str">
        <f t="shared" si="4"/>
        <v/>
      </c>
    </row>
    <row r="170" spans="2:7" x14ac:dyDescent="0.2">
      <c r="B170" s="9"/>
      <c r="C170" s="22"/>
      <c r="D170" s="25"/>
      <c r="E170" s="22"/>
      <c r="F170" s="25"/>
      <c r="G170" s="11" t="str">
        <f t="shared" si="4"/>
        <v/>
      </c>
    </row>
    <row r="171" spans="2:7" x14ac:dyDescent="0.2">
      <c r="B171" s="9"/>
      <c r="C171" s="22"/>
      <c r="D171" s="25"/>
      <c r="E171" s="22"/>
      <c r="F171" s="25"/>
      <c r="G171" s="11" t="str">
        <f t="shared" si="4"/>
        <v/>
      </c>
    </row>
    <row r="172" spans="2:7" x14ac:dyDescent="0.2">
      <c r="B172" s="9"/>
      <c r="C172" s="22"/>
      <c r="D172" s="25"/>
      <c r="E172" s="22"/>
      <c r="F172" s="25"/>
      <c r="G172" s="11" t="str">
        <f t="shared" si="4"/>
        <v/>
      </c>
    </row>
    <row r="173" spans="2:7" x14ac:dyDescent="0.2">
      <c r="B173" s="9"/>
      <c r="C173" s="22"/>
      <c r="D173" s="25"/>
      <c r="E173" s="22"/>
      <c r="F173" s="25"/>
      <c r="G173" s="11" t="str">
        <f t="shared" si="4"/>
        <v/>
      </c>
    </row>
    <row r="174" spans="2:7" x14ac:dyDescent="0.2">
      <c r="B174" s="9"/>
      <c r="C174" s="22"/>
      <c r="D174" s="25"/>
      <c r="E174" s="22"/>
      <c r="F174" s="25"/>
      <c r="G174" s="11" t="str">
        <f t="shared" si="4"/>
        <v/>
      </c>
    </row>
    <row r="175" spans="2:7" x14ac:dyDescent="0.2">
      <c r="B175" s="9"/>
      <c r="C175" s="22"/>
      <c r="D175" s="25"/>
      <c r="E175" s="22"/>
      <c r="F175" s="25"/>
      <c r="G175" s="11" t="str">
        <f t="shared" si="4"/>
        <v/>
      </c>
    </row>
    <row r="176" spans="2:7" x14ac:dyDescent="0.2">
      <c r="B176" s="9"/>
      <c r="C176" s="22"/>
      <c r="D176" s="25"/>
      <c r="E176" s="22"/>
      <c r="F176" s="25"/>
      <c r="G176" s="11" t="str">
        <f t="shared" si="4"/>
        <v/>
      </c>
    </row>
    <row r="177" spans="2:7" x14ac:dyDescent="0.2">
      <c r="B177" s="9"/>
      <c r="C177" s="22"/>
      <c r="D177" s="25"/>
      <c r="E177" s="22"/>
      <c r="F177" s="25"/>
      <c r="G177" s="11" t="str">
        <f t="shared" si="4"/>
        <v/>
      </c>
    </row>
    <row r="178" spans="2:7" x14ac:dyDescent="0.2">
      <c r="B178" s="9"/>
      <c r="C178" s="22"/>
      <c r="D178" s="25"/>
      <c r="E178" s="22"/>
      <c r="F178" s="25"/>
      <c r="G178" s="11" t="str">
        <f t="shared" si="4"/>
        <v/>
      </c>
    </row>
    <row r="179" spans="2:7" x14ac:dyDescent="0.2">
      <c r="B179" s="9"/>
      <c r="C179" s="22"/>
      <c r="D179" s="25"/>
      <c r="E179" s="22"/>
      <c r="F179" s="25"/>
      <c r="G179" s="11" t="str">
        <f t="shared" si="4"/>
        <v/>
      </c>
    </row>
    <row r="180" spans="2:7" x14ac:dyDescent="0.2">
      <c r="B180" s="9"/>
      <c r="C180" s="22"/>
      <c r="D180" s="25"/>
      <c r="E180" s="22"/>
      <c r="F180" s="25"/>
      <c r="G180" s="11" t="str">
        <f t="shared" si="4"/>
        <v/>
      </c>
    </row>
    <row r="181" spans="2:7" x14ac:dyDescent="0.2">
      <c r="B181" s="9"/>
      <c r="C181" s="22"/>
      <c r="D181" s="25"/>
      <c r="E181" s="22"/>
      <c r="F181" s="25"/>
      <c r="G181" s="11" t="str">
        <f t="shared" si="4"/>
        <v/>
      </c>
    </row>
    <row r="182" spans="2:7" x14ac:dyDescent="0.2">
      <c r="B182" s="9"/>
      <c r="C182" s="22"/>
      <c r="D182" s="25"/>
      <c r="E182" s="22"/>
      <c r="F182" s="25"/>
      <c r="G182" s="11" t="str">
        <f t="shared" si="4"/>
        <v/>
      </c>
    </row>
    <row r="183" spans="2:7" x14ac:dyDescent="0.2">
      <c r="B183" s="9"/>
      <c r="C183" s="22"/>
      <c r="D183" s="25"/>
      <c r="E183" s="22"/>
      <c r="F183" s="25"/>
      <c r="G183" s="11" t="str">
        <f t="shared" si="4"/>
        <v/>
      </c>
    </row>
    <row r="184" spans="2:7" x14ac:dyDescent="0.2">
      <c r="B184" s="9"/>
      <c r="C184" s="22"/>
      <c r="D184" s="25"/>
      <c r="E184" s="22"/>
      <c r="F184" s="25"/>
      <c r="G184" s="11" t="str">
        <f t="shared" si="4"/>
        <v/>
      </c>
    </row>
    <row r="185" spans="2:7" x14ac:dyDescent="0.2">
      <c r="B185" s="9"/>
      <c r="C185" s="22"/>
      <c r="D185" s="25"/>
      <c r="E185" s="22"/>
      <c r="F185" s="25"/>
      <c r="G185" s="11" t="str">
        <f t="shared" si="4"/>
        <v/>
      </c>
    </row>
    <row r="186" spans="2:7" x14ac:dyDescent="0.2">
      <c r="B186" s="9"/>
      <c r="C186" s="22"/>
      <c r="D186" s="25"/>
      <c r="E186" s="22"/>
      <c r="F186" s="25"/>
      <c r="G186" s="11" t="str">
        <f t="shared" si="4"/>
        <v/>
      </c>
    </row>
    <row r="187" spans="2:7" x14ac:dyDescent="0.2">
      <c r="B187" s="9"/>
      <c r="C187" s="22"/>
      <c r="D187" s="25"/>
      <c r="E187" s="22"/>
      <c r="F187" s="25"/>
      <c r="G187" s="11" t="str">
        <f t="shared" si="4"/>
        <v/>
      </c>
    </row>
    <row r="188" spans="2:7" x14ac:dyDescent="0.2">
      <c r="B188" s="9"/>
      <c r="C188" s="22"/>
      <c r="D188" s="25"/>
      <c r="E188" s="22"/>
      <c r="F188" s="25"/>
      <c r="G188" s="11" t="str">
        <f t="shared" si="4"/>
        <v/>
      </c>
    </row>
    <row r="189" spans="2:7" x14ac:dyDescent="0.2">
      <c r="B189" s="9"/>
      <c r="C189" s="22"/>
      <c r="D189" s="25"/>
      <c r="E189" s="22"/>
      <c r="F189" s="25"/>
      <c r="G189" s="11" t="str">
        <f t="shared" si="4"/>
        <v/>
      </c>
    </row>
    <row r="190" spans="2:7" x14ac:dyDescent="0.2">
      <c r="B190" s="9"/>
      <c r="C190" s="22"/>
      <c r="D190" s="25"/>
      <c r="E190" s="22"/>
      <c r="F190" s="25"/>
      <c r="G190" s="11" t="str">
        <f t="shared" ref="G190:G221" si="5">IF(COUNT(C190:F190)&lt;4,"",IF(AND(E190=0,OR(C190&gt;=$C$23,D190&gt;=$C$24)),"ADD AS NEGATIVE",IF(AND(F190&gt;0,D190/F190&gt;$C$8),"ACOS &gt; BREAKEVEN","OK")))</f>
        <v/>
      </c>
    </row>
    <row r="191" spans="2:7" x14ac:dyDescent="0.2">
      <c r="B191" s="9"/>
      <c r="C191" s="22"/>
      <c r="D191" s="25"/>
      <c r="E191" s="22"/>
      <c r="F191" s="25"/>
      <c r="G191" s="11" t="str">
        <f t="shared" si="5"/>
        <v/>
      </c>
    </row>
    <row r="192" spans="2:7" x14ac:dyDescent="0.2">
      <c r="B192" s="9"/>
      <c r="C192" s="22"/>
      <c r="D192" s="25"/>
      <c r="E192" s="22"/>
      <c r="F192" s="25"/>
      <c r="G192" s="11" t="str">
        <f t="shared" si="5"/>
        <v/>
      </c>
    </row>
    <row r="193" spans="2:7" x14ac:dyDescent="0.2">
      <c r="B193" s="9"/>
      <c r="C193" s="22"/>
      <c r="D193" s="25"/>
      <c r="E193" s="22"/>
      <c r="F193" s="25"/>
      <c r="G193" s="11" t="str">
        <f t="shared" si="5"/>
        <v/>
      </c>
    </row>
    <row r="194" spans="2:7" x14ac:dyDescent="0.2">
      <c r="B194" s="9"/>
      <c r="C194" s="22"/>
      <c r="D194" s="25"/>
      <c r="E194" s="22"/>
      <c r="F194" s="25"/>
      <c r="G194" s="11" t="str">
        <f t="shared" si="5"/>
        <v/>
      </c>
    </row>
    <row r="195" spans="2:7" x14ac:dyDescent="0.2">
      <c r="B195" s="9"/>
      <c r="C195" s="22"/>
      <c r="D195" s="25"/>
      <c r="E195" s="22"/>
      <c r="F195" s="25"/>
      <c r="G195" s="11" t="str">
        <f t="shared" si="5"/>
        <v/>
      </c>
    </row>
    <row r="196" spans="2:7" x14ac:dyDescent="0.2">
      <c r="B196" s="9"/>
      <c r="C196" s="22"/>
      <c r="D196" s="25"/>
      <c r="E196" s="22"/>
      <c r="F196" s="25"/>
      <c r="G196" s="11" t="str">
        <f t="shared" si="5"/>
        <v/>
      </c>
    </row>
    <row r="197" spans="2:7" x14ac:dyDescent="0.2">
      <c r="B197" s="9"/>
      <c r="C197" s="22"/>
      <c r="D197" s="25"/>
      <c r="E197" s="22"/>
      <c r="F197" s="25"/>
      <c r="G197" s="11" t="str">
        <f t="shared" si="5"/>
        <v/>
      </c>
    </row>
    <row r="198" spans="2:7" x14ac:dyDescent="0.2">
      <c r="B198" s="9"/>
      <c r="C198" s="22"/>
      <c r="D198" s="25"/>
      <c r="E198" s="22"/>
      <c r="F198" s="25"/>
      <c r="G198" s="11" t="str">
        <f t="shared" si="5"/>
        <v/>
      </c>
    </row>
    <row r="199" spans="2:7" x14ac:dyDescent="0.2">
      <c r="B199" s="9"/>
      <c r="C199" s="22"/>
      <c r="D199" s="25"/>
      <c r="E199" s="22"/>
      <c r="F199" s="25"/>
      <c r="G199" s="11" t="str">
        <f t="shared" si="5"/>
        <v/>
      </c>
    </row>
    <row r="200" spans="2:7" x14ac:dyDescent="0.2">
      <c r="B200" s="9"/>
      <c r="C200" s="22"/>
      <c r="D200" s="25"/>
      <c r="E200" s="22"/>
      <c r="F200" s="25"/>
      <c r="G200" s="11" t="str">
        <f t="shared" si="5"/>
        <v/>
      </c>
    </row>
    <row r="201" spans="2:7" x14ac:dyDescent="0.2">
      <c r="B201" s="9"/>
      <c r="C201" s="22"/>
      <c r="D201" s="25"/>
      <c r="E201" s="22"/>
      <c r="F201" s="25"/>
      <c r="G201" s="11" t="str">
        <f t="shared" si="5"/>
        <v/>
      </c>
    </row>
    <row r="202" spans="2:7" x14ac:dyDescent="0.2">
      <c r="B202" s="9"/>
      <c r="C202" s="22"/>
      <c r="D202" s="25"/>
      <c r="E202" s="22"/>
      <c r="F202" s="25"/>
      <c r="G202" s="11" t="str">
        <f t="shared" si="5"/>
        <v/>
      </c>
    </row>
    <row r="203" spans="2:7" x14ac:dyDescent="0.2">
      <c r="B203" s="9"/>
      <c r="C203" s="22"/>
      <c r="D203" s="25"/>
      <c r="E203" s="22"/>
      <c r="F203" s="25"/>
      <c r="G203" s="11" t="str">
        <f t="shared" si="5"/>
        <v/>
      </c>
    </row>
    <row r="204" spans="2:7" x14ac:dyDescent="0.2">
      <c r="B204" s="9"/>
      <c r="C204" s="22"/>
      <c r="D204" s="25"/>
      <c r="E204" s="22"/>
      <c r="F204" s="25"/>
      <c r="G204" s="11" t="str">
        <f t="shared" si="5"/>
        <v/>
      </c>
    </row>
    <row r="205" spans="2:7" x14ac:dyDescent="0.2">
      <c r="B205" s="9"/>
      <c r="C205" s="22"/>
      <c r="D205" s="25"/>
      <c r="E205" s="22"/>
      <c r="F205" s="25"/>
      <c r="G205" s="11" t="str">
        <f t="shared" si="5"/>
        <v/>
      </c>
    </row>
    <row r="206" spans="2:7" x14ac:dyDescent="0.2">
      <c r="B206" s="9"/>
      <c r="C206" s="22"/>
      <c r="D206" s="25"/>
      <c r="E206" s="22"/>
      <c r="F206" s="25"/>
      <c r="G206" s="11" t="str">
        <f t="shared" si="5"/>
        <v/>
      </c>
    </row>
    <row r="207" spans="2:7" x14ac:dyDescent="0.2">
      <c r="B207" s="9"/>
      <c r="C207" s="22"/>
      <c r="D207" s="25"/>
      <c r="E207" s="22"/>
      <c r="F207" s="25"/>
      <c r="G207" s="11" t="str">
        <f t="shared" si="5"/>
        <v/>
      </c>
    </row>
    <row r="208" spans="2:7" x14ac:dyDescent="0.2">
      <c r="B208" s="9"/>
      <c r="C208" s="22"/>
      <c r="D208" s="25"/>
      <c r="E208" s="22"/>
      <c r="F208" s="25"/>
      <c r="G208" s="11" t="str">
        <f t="shared" si="5"/>
        <v/>
      </c>
    </row>
    <row r="209" spans="2:7" x14ac:dyDescent="0.2">
      <c r="B209" s="9"/>
      <c r="C209" s="22"/>
      <c r="D209" s="25"/>
      <c r="E209" s="22"/>
      <c r="F209" s="25"/>
      <c r="G209" s="11" t="str">
        <f t="shared" si="5"/>
        <v/>
      </c>
    </row>
    <row r="210" spans="2:7" x14ac:dyDescent="0.2">
      <c r="B210" s="9"/>
      <c r="C210" s="22"/>
      <c r="D210" s="25"/>
      <c r="E210" s="22"/>
      <c r="F210" s="25"/>
      <c r="G210" s="11" t="str">
        <f t="shared" si="5"/>
        <v/>
      </c>
    </row>
    <row r="211" spans="2:7" x14ac:dyDescent="0.2">
      <c r="B211" s="9"/>
      <c r="C211" s="22"/>
      <c r="D211" s="25"/>
      <c r="E211" s="22"/>
      <c r="F211" s="25"/>
      <c r="G211" s="11" t="str">
        <f t="shared" si="5"/>
        <v/>
      </c>
    </row>
    <row r="212" spans="2:7" x14ac:dyDescent="0.2">
      <c r="B212" s="9"/>
      <c r="C212" s="22"/>
      <c r="D212" s="25"/>
      <c r="E212" s="22"/>
      <c r="F212" s="25"/>
      <c r="G212" s="11" t="str">
        <f t="shared" si="5"/>
        <v/>
      </c>
    </row>
    <row r="213" spans="2:7" x14ac:dyDescent="0.2">
      <c r="B213" s="9"/>
      <c r="C213" s="22"/>
      <c r="D213" s="25"/>
      <c r="E213" s="22"/>
      <c r="F213" s="25"/>
      <c r="G213" s="11" t="str">
        <f t="shared" si="5"/>
        <v/>
      </c>
    </row>
    <row r="214" spans="2:7" x14ac:dyDescent="0.2">
      <c r="B214" s="9"/>
      <c r="C214" s="22"/>
      <c r="D214" s="25"/>
      <c r="E214" s="22"/>
      <c r="F214" s="25"/>
      <c r="G214" s="11" t="str">
        <f t="shared" si="5"/>
        <v/>
      </c>
    </row>
    <row r="215" spans="2:7" x14ac:dyDescent="0.2">
      <c r="B215" s="9"/>
      <c r="C215" s="22"/>
      <c r="D215" s="25"/>
      <c r="E215" s="22"/>
      <c r="F215" s="25"/>
      <c r="G215" s="11" t="str">
        <f t="shared" si="5"/>
        <v/>
      </c>
    </row>
    <row r="216" spans="2:7" x14ac:dyDescent="0.2">
      <c r="B216" s="9"/>
      <c r="C216" s="22"/>
      <c r="D216" s="25"/>
      <c r="E216" s="22"/>
      <c r="F216" s="25"/>
      <c r="G216" s="11" t="str">
        <f t="shared" si="5"/>
        <v/>
      </c>
    </row>
    <row r="217" spans="2:7" x14ac:dyDescent="0.2">
      <c r="B217" s="9"/>
      <c r="C217" s="22"/>
      <c r="D217" s="25"/>
      <c r="E217" s="22"/>
      <c r="F217" s="25"/>
      <c r="G217" s="11" t="str">
        <f t="shared" si="5"/>
        <v/>
      </c>
    </row>
    <row r="218" spans="2:7" x14ac:dyDescent="0.2">
      <c r="B218" s="9"/>
      <c r="C218" s="22"/>
      <c r="D218" s="25"/>
      <c r="E218" s="22"/>
      <c r="F218" s="25"/>
      <c r="G218" s="11" t="str">
        <f t="shared" si="5"/>
        <v/>
      </c>
    </row>
    <row r="219" spans="2:7" x14ac:dyDescent="0.2">
      <c r="B219" s="9"/>
      <c r="C219" s="22"/>
      <c r="D219" s="25"/>
      <c r="E219" s="22"/>
      <c r="F219" s="25"/>
      <c r="G219" s="11" t="str">
        <f t="shared" si="5"/>
        <v/>
      </c>
    </row>
    <row r="220" spans="2:7" x14ac:dyDescent="0.2">
      <c r="B220" s="9"/>
      <c r="C220" s="22"/>
      <c r="D220" s="25"/>
      <c r="E220" s="22"/>
      <c r="F220" s="25"/>
      <c r="G220" s="11" t="str">
        <f t="shared" si="5"/>
        <v/>
      </c>
    </row>
    <row r="221" spans="2:7" x14ac:dyDescent="0.2">
      <c r="B221" s="9"/>
      <c r="C221" s="22"/>
      <c r="D221" s="25"/>
      <c r="E221" s="22"/>
      <c r="F221" s="25"/>
      <c r="G221" s="11" t="str">
        <f t="shared" si="5"/>
        <v/>
      </c>
    </row>
    <row r="222" spans="2:7" x14ac:dyDescent="0.2">
      <c r="B222" s="9"/>
      <c r="C222" s="22"/>
      <c r="D222" s="25"/>
      <c r="E222" s="22"/>
      <c r="F222" s="25"/>
      <c r="G222" s="11" t="str">
        <f t="shared" ref="G222:G253" si="6">IF(COUNT(C222:F222)&lt;4,"",IF(AND(E222=0,OR(C222&gt;=$C$23,D222&gt;=$C$24)),"ADD AS NEGATIVE",IF(AND(F222&gt;0,D222/F222&gt;$C$8),"ACOS &gt; BREAKEVEN","OK")))</f>
        <v/>
      </c>
    </row>
    <row r="223" spans="2:7" x14ac:dyDescent="0.2">
      <c r="B223" s="9"/>
      <c r="C223" s="22"/>
      <c r="D223" s="25"/>
      <c r="E223" s="22"/>
      <c r="F223" s="25"/>
      <c r="G223" s="11" t="str">
        <f t="shared" si="6"/>
        <v/>
      </c>
    </row>
    <row r="224" spans="2:7" x14ac:dyDescent="0.2">
      <c r="B224" s="9"/>
      <c r="C224" s="22"/>
      <c r="D224" s="25"/>
      <c r="E224" s="22"/>
      <c r="F224" s="25"/>
      <c r="G224" s="11" t="str">
        <f t="shared" si="6"/>
        <v/>
      </c>
    </row>
    <row r="225" spans="2:7" x14ac:dyDescent="0.2">
      <c r="B225" s="9"/>
      <c r="C225" s="22"/>
      <c r="D225" s="25"/>
      <c r="E225" s="22"/>
      <c r="F225" s="25"/>
      <c r="G225" s="11" t="str">
        <f t="shared" si="6"/>
        <v/>
      </c>
    </row>
    <row r="226" spans="2:7" x14ac:dyDescent="0.2">
      <c r="B226" s="9"/>
      <c r="C226" s="22"/>
      <c r="D226" s="25"/>
      <c r="E226" s="22"/>
      <c r="F226" s="25"/>
      <c r="G226" s="11" t="str">
        <f t="shared" si="6"/>
        <v/>
      </c>
    </row>
    <row r="227" spans="2:7" x14ac:dyDescent="0.2">
      <c r="B227" s="9"/>
      <c r="C227" s="22"/>
      <c r="D227" s="25"/>
      <c r="E227" s="22"/>
      <c r="F227" s="25"/>
      <c r="G227" s="11" t="str">
        <f t="shared" si="6"/>
        <v/>
      </c>
    </row>
    <row r="228" spans="2:7" x14ac:dyDescent="0.2">
      <c r="B228" s="9"/>
      <c r="C228" s="22"/>
      <c r="D228" s="25"/>
      <c r="E228" s="22"/>
      <c r="F228" s="25"/>
      <c r="G228" s="11" t="str">
        <f t="shared" si="6"/>
        <v/>
      </c>
    </row>
    <row r="229" spans="2:7" x14ac:dyDescent="0.2">
      <c r="B229" s="9"/>
      <c r="C229" s="22"/>
      <c r="D229" s="25"/>
      <c r="E229" s="22"/>
      <c r="F229" s="25"/>
      <c r="G229" s="11" t="str">
        <f t="shared" si="6"/>
        <v/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B1:I38"/>
  <sheetViews>
    <sheetView workbookViewId="0"/>
  </sheetViews>
  <sheetFormatPr baseColWidth="10" defaultColWidth="8.83203125" defaultRowHeight="15" x14ac:dyDescent="0.2"/>
  <cols>
    <col min="1" max="1" width="2" customWidth="1"/>
    <col min="2" max="2" width="9" customWidth="1"/>
    <col min="3" max="7" width="13" customWidth="1"/>
    <col min="8" max="8" width="14" customWidth="1"/>
    <col min="9" max="9" width="40" customWidth="1"/>
  </cols>
  <sheetData>
    <row r="1" spans="2:8" x14ac:dyDescent="0.2">
      <c r="B1" s="6" t="str">
        <f>HYPERLINK("#Start!B2","← Start")</f>
        <v>← Start</v>
      </c>
    </row>
    <row r="2" spans="2:8" ht="16" x14ac:dyDescent="0.2">
      <c r="B2" s="1" t="s">
        <v>389</v>
      </c>
    </row>
    <row r="3" spans="2:8" ht="210" x14ac:dyDescent="0.2">
      <c r="B3" s="2" t="s">
        <v>390</v>
      </c>
    </row>
    <row r="5" spans="2:8" x14ac:dyDescent="0.2">
      <c r="B5" s="4" t="s">
        <v>134</v>
      </c>
      <c r="C5" s="4"/>
    </row>
    <row r="6" spans="2:8" x14ac:dyDescent="0.2">
      <c r="B6" s="11" t="s">
        <v>391</v>
      </c>
      <c r="C6" s="34">
        <f>'6 Order size'!C24</f>
        <v>386</v>
      </c>
    </row>
    <row r="7" spans="2:8" x14ac:dyDescent="0.2">
      <c r="B7" s="11" t="s">
        <v>169</v>
      </c>
      <c r="C7" s="33">
        <f>'6 Order size'!C15</f>
        <v>12.929399999999999</v>
      </c>
    </row>
    <row r="8" spans="2:8" x14ac:dyDescent="0.2">
      <c r="B8" s="11" t="s">
        <v>392</v>
      </c>
      <c r="C8" s="27">
        <f>IFERROR(C6*C7,"")</f>
        <v>4990.7483999999995</v>
      </c>
    </row>
    <row r="9" spans="2:8" x14ac:dyDescent="0.2">
      <c r="B9" s="11" t="s">
        <v>393</v>
      </c>
      <c r="C9" s="26">
        <v>0.3</v>
      </c>
    </row>
    <row r="10" spans="2:8" x14ac:dyDescent="0.2">
      <c r="B10" s="11" t="s">
        <v>394</v>
      </c>
      <c r="C10" s="22">
        <v>2</v>
      </c>
    </row>
    <row r="11" spans="2:8" x14ac:dyDescent="0.2">
      <c r="B11" s="11" t="s">
        <v>395</v>
      </c>
      <c r="C11" s="22">
        <v>3</v>
      </c>
    </row>
    <row r="12" spans="2:8" x14ac:dyDescent="0.2">
      <c r="B12" s="11" t="s">
        <v>396</v>
      </c>
      <c r="C12" s="27">
        <f>IFERROR(ROUND(0.19*C8,0),"")</f>
        <v>948</v>
      </c>
    </row>
    <row r="13" spans="2:8" x14ac:dyDescent="0.2">
      <c r="B13" s="11" t="s">
        <v>397</v>
      </c>
      <c r="C13" s="22">
        <v>2</v>
      </c>
    </row>
    <row r="14" spans="2:8" x14ac:dyDescent="0.2">
      <c r="B14" s="11" t="s">
        <v>398</v>
      </c>
      <c r="C14" s="33">
        <f>'3 Unit economics'!C26</f>
        <v>33.773088235294125</v>
      </c>
    </row>
    <row r="15" spans="2:8" x14ac:dyDescent="0.2">
      <c r="B15" s="11" t="s">
        <v>399</v>
      </c>
      <c r="C15" s="25">
        <v>6500</v>
      </c>
    </row>
    <row r="16" spans="2:8" x14ac:dyDescent="0.2">
      <c r="B16" s="4" t="s">
        <v>68</v>
      </c>
      <c r="C16" s="4" t="s">
        <v>400</v>
      </c>
      <c r="D16" s="4" t="s">
        <v>401</v>
      </c>
      <c r="E16" s="4" t="s">
        <v>402</v>
      </c>
      <c r="F16" s="4" t="s">
        <v>403</v>
      </c>
      <c r="G16" s="4" t="s">
        <v>404</v>
      </c>
      <c r="H16" s="4" t="s">
        <v>405</v>
      </c>
    </row>
    <row r="17" spans="2:9" ht="26" x14ac:dyDescent="0.2">
      <c r="B17" s="20">
        <v>0</v>
      </c>
      <c r="C17" s="22">
        <v>0</v>
      </c>
      <c r="D17" s="12">
        <v>0</v>
      </c>
      <c r="E17" s="13">
        <f t="shared" ref="E17:E29" si="0">ROUND(IF($B17=0,$C$9*$C$8,0)+IF($B17=$C$10,(1-$C$9)*$C$8,0)+IF($B17=$C$11,$C$12,0)+D17,0)</f>
        <v>1497</v>
      </c>
      <c r="F17" s="13">
        <f t="shared" ref="F17:F29" si="1">ROUND(C17*$C$14+IF($B17=$C$11+$C$13,$C$12,0),0)</f>
        <v>0</v>
      </c>
      <c r="G17" s="13">
        <f t="shared" ref="G17:G29" si="2">F17-E17</f>
        <v>-1497</v>
      </c>
      <c r="H17" s="17">
        <f>$C$15+G17</f>
        <v>5003</v>
      </c>
      <c r="I17" s="3" t="s">
        <v>406</v>
      </c>
    </row>
    <row r="18" spans="2:9" x14ac:dyDescent="0.2">
      <c r="B18" s="20">
        <v>1</v>
      </c>
      <c r="C18" s="22">
        <v>0</v>
      </c>
      <c r="D18" s="12">
        <v>0</v>
      </c>
      <c r="E18" s="13">
        <f t="shared" si="0"/>
        <v>0</v>
      </c>
      <c r="F18" s="13">
        <f t="shared" si="1"/>
        <v>0</v>
      </c>
      <c r="G18" s="13">
        <f t="shared" si="2"/>
        <v>0</v>
      </c>
      <c r="H18" s="17">
        <f t="shared" ref="H18:H29" si="3">H17+G18</f>
        <v>5003</v>
      </c>
    </row>
    <row r="19" spans="2:9" x14ac:dyDescent="0.2">
      <c r="B19" s="20">
        <v>2</v>
      </c>
      <c r="C19" s="22">
        <v>0</v>
      </c>
      <c r="D19" s="12">
        <v>0</v>
      </c>
      <c r="E19" s="13">
        <f t="shared" si="0"/>
        <v>3494</v>
      </c>
      <c r="F19" s="13">
        <f t="shared" si="1"/>
        <v>0</v>
      </c>
      <c r="G19" s="13">
        <f t="shared" si="2"/>
        <v>-3494</v>
      </c>
      <c r="H19" s="17">
        <f t="shared" si="3"/>
        <v>1509</v>
      </c>
    </row>
    <row r="20" spans="2:9" ht="26" x14ac:dyDescent="0.2">
      <c r="B20" s="20">
        <v>3</v>
      </c>
      <c r="C20" s="22">
        <v>60</v>
      </c>
      <c r="D20" s="12">
        <v>700</v>
      </c>
      <c r="E20" s="13">
        <f t="shared" si="0"/>
        <v>1648</v>
      </c>
      <c r="F20" s="13">
        <f t="shared" si="1"/>
        <v>2026</v>
      </c>
      <c r="G20" s="13">
        <f t="shared" si="2"/>
        <v>378</v>
      </c>
      <c r="H20" s="17">
        <f t="shared" si="3"/>
        <v>1887</v>
      </c>
      <c r="I20" s="3" t="s">
        <v>407</v>
      </c>
    </row>
    <row r="21" spans="2:9" x14ac:dyDescent="0.2">
      <c r="B21" s="20">
        <v>4</v>
      </c>
      <c r="C21" s="22">
        <v>90</v>
      </c>
      <c r="D21" s="12">
        <v>700</v>
      </c>
      <c r="E21" s="13">
        <f t="shared" si="0"/>
        <v>700</v>
      </c>
      <c r="F21" s="13">
        <f t="shared" si="1"/>
        <v>3040</v>
      </c>
      <c r="G21" s="13">
        <f t="shared" si="2"/>
        <v>2340</v>
      </c>
      <c r="H21" s="17">
        <f t="shared" si="3"/>
        <v>4227</v>
      </c>
    </row>
    <row r="22" spans="2:9" x14ac:dyDescent="0.2">
      <c r="B22" s="20">
        <v>5</v>
      </c>
      <c r="C22" s="22">
        <v>110</v>
      </c>
      <c r="D22" s="12">
        <v>500</v>
      </c>
      <c r="E22" s="13">
        <f t="shared" si="0"/>
        <v>500</v>
      </c>
      <c r="F22" s="13">
        <f t="shared" si="1"/>
        <v>4663</v>
      </c>
      <c r="G22" s="13">
        <f t="shared" si="2"/>
        <v>4163</v>
      </c>
      <c r="H22" s="17">
        <f t="shared" si="3"/>
        <v>8390</v>
      </c>
    </row>
    <row r="23" spans="2:9" x14ac:dyDescent="0.2">
      <c r="B23" s="20">
        <v>6</v>
      </c>
      <c r="C23" s="22">
        <v>120</v>
      </c>
      <c r="D23" s="12">
        <v>400</v>
      </c>
      <c r="E23" s="13">
        <f t="shared" si="0"/>
        <v>400</v>
      </c>
      <c r="F23" s="13">
        <f t="shared" si="1"/>
        <v>4053</v>
      </c>
      <c r="G23" s="13">
        <f t="shared" si="2"/>
        <v>3653</v>
      </c>
      <c r="H23" s="17">
        <f t="shared" si="3"/>
        <v>12043</v>
      </c>
    </row>
    <row r="24" spans="2:9" x14ac:dyDescent="0.2">
      <c r="B24" s="20">
        <v>7</v>
      </c>
      <c r="C24" s="22">
        <v>120</v>
      </c>
      <c r="D24" s="12">
        <v>400</v>
      </c>
      <c r="E24" s="13">
        <f t="shared" si="0"/>
        <v>400</v>
      </c>
      <c r="F24" s="13">
        <f t="shared" si="1"/>
        <v>4053</v>
      </c>
      <c r="G24" s="13">
        <f t="shared" si="2"/>
        <v>3653</v>
      </c>
      <c r="H24" s="17">
        <f t="shared" si="3"/>
        <v>15696</v>
      </c>
    </row>
    <row r="25" spans="2:9" x14ac:dyDescent="0.2">
      <c r="B25" s="20">
        <v>8</v>
      </c>
      <c r="C25" s="22">
        <v>100</v>
      </c>
      <c r="D25" s="12">
        <v>350</v>
      </c>
      <c r="E25" s="13">
        <f t="shared" si="0"/>
        <v>350</v>
      </c>
      <c r="F25" s="13">
        <f t="shared" si="1"/>
        <v>3377</v>
      </c>
      <c r="G25" s="13">
        <f t="shared" si="2"/>
        <v>3027</v>
      </c>
      <c r="H25" s="17">
        <f t="shared" si="3"/>
        <v>18723</v>
      </c>
    </row>
    <row r="26" spans="2:9" x14ac:dyDescent="0.2">
      <c r="B26" s="20">
        <v>9</v>
      </c>
      <c r="C26" s="22">
        <v>80</v>
      </c>
      <c r="D26" s="12">
        <v>300</v>
      </c>
      <c r="E26" s="13">
        <f t="shared" si="0"/>
        <v>300</v>
      </c>
      <c r="F26" s="13">
        <f t="shared" si="1"/>
        <v>2702</v>
      </c>
      <c r="G26" s="13">
        <f t="shared" si="2"/>
        <v>2402</v>
      </c>
      <c r="H26" s="17">
        <f t="shared" si="3"/>
        <v>21125</v>
      </c>
    </row>
    <row r="27" spans="2:9" x14ac:dyDescent="0.2">
      <c r="B27" s="20">
        <v>10</v>
      </c>
      <c r="C27" s="22">
        <v>60</v>
      </c>
      <c r="D27" s="12">
        <v>250</v>
      </c>
      <c r="E27" s="13">
        <f t="shared" si="0"/>
        <v>250</v>
      </c>
      <c r="F27" s="13">
        <f t="shared" si="1"/>
        <v>2026</v>
      </c>
      <c r="G27" s="13">
        <f t="shared" si="2"/>
        <v>1776</v>
      </c>
      <c r="H27" s="17">
        <f t="shared" si="3"/>
        <v>22901</v>
      </c>
    </row>
    <row r="28" spans="2:9" x14ac:dyDescent="0.2">
      <c r="B28" s="20">
        <v>11</v>
      </c>
      <c r="C28" s="22">
        <v>40</v>
      </c>
      <c r="D28" s="12">
        <v>200</v>
      </c>
      <c r="E28" s="13">
        <f t="shared" si="0"/>
        <v>200</v>
      </c>
      <c r="F28" s="13">
        <f t="shared" si="1"/>
        <v>1351</v>
      </c>
      <c r="G28" s="13">
        <f t="shared" si="2"/>
        <v>1151</v>
      </c>
      <c r="H28" s="17">
        <f t="shared" si="3"/>
        <v>24052</v>
      </c>
    </row>
    <row r="29" spans="2:9" x14ac:dyDescent="0.2">
      <c r="B29" s="20">
        <v>12</v>
      </c>
      <c r="C29" s="22">
        <v>20</v>
      </c>
      <c r="D29" s="12">
        <v>150</v>
      </c>
      <c r="E29" s="13">
        <f t="shared" si="0"/>
        <v>150</v>
      </c>
      <c r="F29" s="13">
        <f t="shared" si="1"/>
        <v>675</v>
      </c>
      <c r="G29" s="13">
        <f t="shared" si="2"/>
        <v>525</v>
      </c>
      <c r="H29" s="17">
        <f t="shared" si="3"/>
        <v>24577</v>
      </c>
    </row>
    <row r="32" spans="2:9" x14ac:dyDescent="0.2">
      <c r="B32" s="5" t="s">
        <v>408</v>
      </c>
      <c r="C32" s="17">
        <f>MIN(H17:H29)</f>
        <v>1509</v>
      </c>
    </row>
    <row r="33" spans="2:3" x14ac:dyDescent="0.2">
      <c r="B33" s="5" t="str">
        <f>IF(C32&lt;0,"⚠ Cash goes below zero — cut the order (Sheet 6), stretch supplier terms, or add capital before ordering.","OK — the plan stays funded.")</f>
        <v>OK — the plan stays funded.</v>
      </c>
    </row>
    <row r="35" spans="2:3" ht="272" x14ac:dyDescent="0.2">
      <c r="B35" s="3" t="s">
        <v>409</v>
      </c>
    </row>
    <row r="37" spans="2:3" x14ac:dyDescent="0.2">
      <c r="B37" s="5" t="s">
        <v>410</v>
      </c>
      <c r="C37" s="23">
        <f>'2 Order timing'!C18+45+14</f>
        <v>190</v>
      </c>
    </row>
    <row r="38" spans="2:3" x14ac:dyDescent="0.2">
      <c r="B38" s="5" t="s">
        <v>411</v>
      </c>
      <c r="C38" s="30">
        <f>IFERROR(ROUND(365/C37,1),"")</f>
        <v>1.9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B1:M21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3" width="8" customWidth="1"/>
    <col min="4" max="5" width="12" customWidth="1"/>
    <col min="6" max="6" width="11" customWidth="1"/>
    <col min="7" max="7" width="10" customWidth="1"/>
    <col min="8" max="8" width="13" customWidth="1"/>
    <col min="9" max="10" width="11" customWidth="1"/>
    <col min="11" max="11" width="12" customWidth="1"/>
    <col min="12" max="12" width="10" customWidth="1"/>
    <col min="13" max="13" width="9" customWidth="1"/>
  </cols>
  <sheetData>
    <row r="1" spans="2:13" x14ac:dyDescent="0.2">
      <c r="B1" s="6" t="str">
        <f>HYPERLINK("#Start!B2","← Start")</f>
        <v>← Start</v>
      </c>
    </row>
    <row r="2" spans="2:13" ht="16" x14ac:dyDescent="0.2">
      <c r="B2" s="1" t="s">
        <v>412</v>
      </c>
    </row>
    <row r="3" spans="2:13" ht="358" x14ac:dyDescent="0.2">
      <c r="B3" s="2" t="s">
        <v>413</v>
      </c>
    </row>
    <row r="5" spans="2:13" x14ac:dyDescent="0.2">
      <c r="B5" s="4" t="s">
        <v>68</v>
      </c>
      <c r="C5" s="4" t="s">
        <v>414</v>
      </c>
      <c r="D5" s="4" t="s">
        <v>415</v>
      </c>
      <c r="E5" s="4" t="s">
        <v>416</v>
      </c>
      <c r="F5" s="4" t="s">
        <v>417</v>
      </c>
      <c r="G5" s="4" t="s">
        <v>418</v>
      </c>
      <c r="H5" s="4" t="s">
        <v>419</v>
      </c>
      <c r="I5" s="4" t="s">
        <v>420</v>
      </c>
      <c r="J5" s="4" t="s">
        <v>421</v>
      </c>
      <c r="K5" s="4" t="s">
        <v>422</v>
      </c>
      <c r="L5" s="4" t="s">
        <v>423</v>
      </c>
      <c r="M5" s="4" t="s">
        <v>424</v>
      </c>
    </row>
    <row r="6" spans="2:13" x14ac:dyDescent="0.2">
      <c r="B6" s="11" t="s">
        <v>76</v>
      </c>
      <c r="C6" s="12">
        <v>90</v>
      </c>
      <c r="D6" s="12">
        <v>5399</v>
      </c>
      <c r="E6" s="12">
        <v>1260</v>
      </c>
      <c r="F6" s="12">
        <v>180</v>
      </c>
      <c r="G6" s="12">
        <v>620</v>
      </c>
      <c r="H6" s="12">
        <v>90</v>
      </c>
      <c r="I6" s="13">
        <f>IF(C6="","",ROUND(C6*'6 Order size'!$C$15,0))</f>
        <v>1164</v>
      </c>
      <c r="J6" s="13">
        <f>IF(D6="","",ROUND('3 Unit economics'!$C$18*D6/(1+'3 Unit economics'!$C$7),0))</f>
        <v>45</v>
      </c>
      <c r="K6" s="17">
        <f>IF(D6="","",ROUND(D6/(1+'3 Unit economics'!$C$7)-E6-F6-G6-H6-I6-J6,0))</f>
        <v>1178</v>
      </c>
      <c r="L6" s="15">
        <f>IF(D6="","",K6/(D6/(1+'3 Unit economics'!$C$7)))</f>
        <v>0.25964437858862749</v>
      </c>
      <c r="M6" s="15">
        <f t="shared" ref="M6:M17" si="0">IF(OR(D6="",G6=""),"",G6/D6)</f>
        <v>0.1148360807556955</v>
      </c>
    </row>
    <row r="7" spans="2:13" x14ac:dyDescent="0.2">
      <c r="B7" s="11" t="s">
        <v>77</v>
      </c>
      <c r="C7" s="12"/>
      <c r="D7" s="12"/>
      <c r="E7" s="12"/>
      <c r="F7" s="12"/>
      <c r="G7" s="12"/>
      <c r="H7" s="12"/>
      <c r="I7" s="13" t="str">
        <f>IF(C7="","",ROUND(C7*'6 Order size'!$C$15,0))</f>
        <v/>
      </c>
      <c r="J7" s="13" t="str">
        <f>IF(D7="","",ROUND('3 Unit economics'!$C$18*D7/(1+'3 Unit economics'!$C$7),0))</f>
        <v/>
      </c>
      <c r="K7" s="17" t="str">
        <f>IF(D7="","",ROUND(D7/(1+'3 Unit economics'!$C$7)-E7-F7-G7-H7-I7-J7,0))</f>
        <v/>
      </c>
      <c r="L7" s="15" t="str">
        <f>IF(D7="","",K7/(D7/(1+'3 Unit economics'!$C$7)))</f>
        <v/>
      </c>
      <c r="M7" s="15" t="str">
        <f t="shared" si="0"/>
        <v/>
      </c>
    </row>
    <row r="8" spans="2:13" x14ac:dyDescent="0.2">
      <c r="B8" s="11" t="s">
        <v>78</v>
      </c>
      <c r="C8" s="12"/>
      <c r="D8" s="12"/>
      <c r="E8" s="12"/>
      <c r="F8" s="12"/>
      <c r="G8" s="12"/>
      <c r="H8" s="12"/>
      <c r="I8" s="13" t="str">
        <f>IF(C8="","",ROUND(C8*'6 Order size'!$C$15,0))</f>
        <v/>
      </c>
      <c r="J8" s="13" t="str">
        <f>IF(D8="","",ROUND('3 Unit economics'!$C$18*D8/(1+'3 Unit economics'!$C$7),0))</f>
        <v/>
      </c>
      <c r="K8" s="17" t="str">
        <f>IF(D8="","",ROUND(D8/(1+'3 Unit economics'!$C$7)-E8-F8-G8-H8-I8-J8,0))</f>
        <v/>
      </c>
      <c r="L8" s="15" t="str">
        <f>IF(D8="","",K8/(D8/(1+'3 Unit economics'!$C$7)))</f>
        <v/>
      </c>
      <c r="M8" s="15" t="str">
        <f t="shared" si="0"/>
        <v/>
      </c>
    </row>
    <row r="9" spans="2:13" x14ac:dyDescent="0.2">
      <c r="B9" s="11" t="s">
        <v>79</v>
      </c>
      <c r="C9" s="12"/>
      <c r="D9" s="12"/>
      <c r="E9" s="12"/>
      <c r="F9" s="12"/>
      <c r="G9" s="12"/>
      <c r="H9" s="12"/>
      <c r="I9" s="13" t="str">
        <f>IF(C9="","",ROUND(C9*'6 Order size'!$C$15,0))</f>
        <v/>
      </c>
      <c r="J9" s="13" t="str">
        <f>IF(D9="","",ROUND('3 Unit economics'!$C$18*D9/(1+'3 Unit economics'!$C$7),0))</f>
        <v/>
      </c>
      <c r="K9" s="17" t="str">
        <f>IF(D9="","",ROUND(D9/(1+'3 Unit economics'!$C$7)-E9-F9-G9-H9-I9-J9,0))</f>
        <v/>
      </c>
      <c r="L9" s="15" t="str">
        <f>IF(D9="","",K9/(D9/(1+'3 Unit economics'!$C$7)))</f>
        <v/>
      </c>
      <c r="M9" s="15" t="str">
        <f t="shared" si="0"/>
        <v/>
      </c>
    </row>
    <row r="10" spans="2:13" x14ac:dyDescent="0.2">
      <c r="B10" s="11" t="s">
        <v>80</v>
      </c>
      <c r="C10" s="12"/>
      <c r="D10" s="12"/>
      <c r="E10" s="12"/>
      <c r="F10" s="12"/>
      <c r="G10" s="12"/>
      <c r="H10" s="12"/>
      <c r="I10" s="13" t="str">
        <f>IF(C10="","",ROUND(C10*'6 Order size'!$C$15,0))</f>
        <v/>
      </c>
      <c r="J10" s="13" t="str">
        <f>IF(D10="","",ROUND('3 Unit economics'!$C$18*D10/(1+'3 Unit economics'!$C$7),0))</f>
        <v/>
      </c>
      <c r="K10" s="17" t="str">
        <f>IF(D10="","",ROUND(D10/(1+'3 Unit economics'!$C$7)-E10-F10-G10-H10-I10-J10,0))</f>
        <v/>
      </c>
      <c r="L10" s="15" t="str">
        <f>IF(D10="","",K10/(D10/(1+'3 Unit economics'!$C$7)))</f>
        <v/>
      </c>
      <c r="M10" s="15" t="str">
        <f t="shared" si="0"/>
        <v/>
      </c>
    </row>
    <row r="11" spans="2:13" x14ac:dyDescent="0.2">
      <c r="B11" s="11" t="s">
        <v>81</v>
      </c>
      <c r="C11" s="12"/>
      <c r="D11" s="12"/>
      <c r="E11" s="12"/>
      <c r="F11" s="12"/>
      <c r="G11" s="12"/>
      <c r="H11" s="12"/>
      <c r="I11" s="13" t="str">
        <f>IF(C11="","",ROUND(C11*'6 Order size'!$C$15,0))</f>
        <v/>
      </c>
      <c r="J11" s="13" t="str">
        <f>IF(D11="","",ROUND('3 Unit economics'!$C$18*D11/(1+'3 Unit economics'!$C$7),0))</f>
        <v/>
      </c>
      <c r="K11" s="17" t="str">
        <f>IF(D11="","",ROUND(D11/(1+'3 Unit economics'!$C$7)-E11-F11-G11-H11-I11-J11,0))</f>
        <v/>
      </c>
      <c r="L11" s="15" t="str">
        <f>IF(D11="","",K11/(D11/(1+'3 Unit economics'!$C$7)))</f>
        <v/>
      </c>
      <c r="M11" s="15" t="str">
        <f t="shared" si="0"/>
        <v/>
      </c>
    </row>
    <row r="12" spans="2:13" x14ac:dyDescent="0.2">
      <c r="B12" s="11" t="s">
        <v>82</v>
      </c>
      <c r="C12" s="12"/>
      <c r="D12" s="12"/>
      <c r="E12" s="12"/>
      <c r="F12" s="12"/>
      <c r="G12" s="12"/>
      <c r="H12" s="12"/>
      <c r="I12" s="13" t="str">
        <f>IF(C12="","",ROUND(C12*'6 Order size'!$C$15,0))</f>
        <v/>
      </c>
      <c r="J12" s="13" t="str">
        <f>IF(D12="","",ROUND('3 Unit economics'!$C$18*D12/(1+'3 Unit economics'!$C$7),0))</f>
        <v/>
      </c>
      <c r="K12" s="17" t="str">
        <f>IF(D12="","",ROUND(D12/(1+'3 Unit economics'!$C$7)-E12-F12-G12-H12-I12-J12,0))</f>
        <v/>
      </c>
      <c r="L12" s="15" t="str">
        <f>IF(D12="","",K12/(D12/(1+'3 Unit economics'!$C$7)))</f>
        <v/>
      </c>
      <c r="M12" s="15" t="str">
        <f t="shared" si="0"/>
        <v/>
      </c>
    </row>
    <row r="13" spans="2:13" x14ac:dyDescent="0.2">
      <c r="B13" s="11" t="s">
        <v>83</v>
      </c>
      <c r="C13" s="12"/>
      <c r="D13" s="12"/>
      <c r="E13" s="12"/>
      <c r="F13" s="12"/>
      <c r="G13" s="12"/>
      <c r="H13" s="12"/>
      <c r="I13" s="13" t="str">
        <f>IF(C13="","",ROUND(C13*'6 Order size'!$C$15,0))</f>
        <v/>
      </c>
      <c r="J13" s="13" t="str">
        <f>IF(D13="","",ROUND('3 Unit economics'!$C$18*D13/(1+'3 Unit economics'!$C$7),0))</f>
        <v/>
      </c>
      <c r="K13" s="17" t="str">
        <f>IF(D13="","",ROUND(D13/(1+'3 Unit economics'!$C$7)-E13-F13-G13-H13-I13-J13,0))</f>
        <v/>
      </c>
      <c r="L13" s="15" t="str">
        <f>IF(D13="","",K13/(D13/(1+'3 Unit economics'!$C$7)))</f>
        <v/>
      </c>
      <c r="M13" s="15" t="str">
        <f t="shared" si="0"/>
        <v/>
      </c>
    </row>
    <row r="14" spans="2:13" x14ac:dyDescent="0.2">
      <c r="B14" s="11" t="s">
        <v>84</v>
      </c>
      <c r="C14" s="12"/>
      <c r="D14" s="12"/>
      <c r="E14" s="12"/>
      <c r="F14" s="12"/>
      <c r="G14" s="12"/>
      <c r="H14" s="12"/>
      <c r="I14" s="13" t="str">
        <f>IF(C14="","",ROUND(C14*'6 Order size'!$C$15,0))</f>
        <v/>
      </c>
      <c r="J14" s="13" t="str">
        <f>IF(D14="","",ROUND('3 Unit economics'!$C$18*D14/(1+'3 Unit economics'!$C$7),0))</f>
        <v/>
      </c>
      <c r="K14" s="17" t="str">
        <f>IF(D14="","",ROUND(D14/(1+'3 Unit economics'!$C$7)-E14-F14-G14-H14-I14-J14,0))</f>
        <v/>
      </c>
      <c r="L14" s="15" t="str">
        <f>IF(D14="","",K14/(D14/(1+'3 Unit economics'!$C$7)))</f>
        <v/>
      </c>
      <c r="M14" s="15" t="str">
        <f t="shared" si="0"/>
        <v/>
      </c>
    </row>
    <row r="15" spans="2:13" x14ac:dyDescent="0.2">
      <c r="B15" s="11" t="s">
        <v>85</v>
      </c>
      <c r="C15" s="12"/>
      <c r="D15" s="12"/>
      <c r="E15" s="12"/>
      <c r="F15" s="12"/>
      <c r="G15" s="12"/>
      <c r="H15" s="12"/>
      <c r="I15" s="13" t="str">
        <f>IF(C15="","",ROUND(C15*'6 Order size'!$C$15,0))</f>
        <v/>
      </c>
      <c r="J15" s="13" t="str">
        <f>IF(D15="","",ROUND('3 Unit economics'!$C$18*D15/(1+'3 Unit economics'!$C$7),0))</f>
        <v/>
      </c>
      <c r="K15" s="17" t="str">
        <f>IF(D15="","",ROUND(D15/(1+'3 Unit economics'!$C$7)-E15-F15-G15-H15-I15-J15,0))</f>
        <v/>
      </c>
      <c r="L15" s="15" t="str">
        <f>IF(D15="","",K15/(D15/(1+'3 Unit economics'!$C$7)))</f>
        <v/>
      </c>
      <c r="M15" s="15" t="str">
        <f t="shared" si="0"/>
        <v/>
      </c>
    </row>
    <row r="16" spans="2:13" x14ac:dyDescent="0.2">
      <c r="B16" s="11" t="s">
        <v>86</v>
      </c>
      <c r="C16" s="12"/>
      <c r="D16" s="12"/>
      <c r="E16" s="12"/>
      <c r="F16" s="12"/>
      <c r="G16" s="12"/>
      <c r="H16" s="12"/>
      <c r="I16" s="13" t="str">
        <f>IF(C16="","",ROUND(C16*'6 Order size'!$C$15,0))</f>
        <v/>
      </c>
      <c r="J16" s="13" t="str">
        <f>IF(D16="","",ROUND('3 Unit economics'!$C$18*D16/(1+'3 Unit economics'!$C$7),0))</f>
        <v/>
      </c>
      <c r="K16" s="17" t="str">
        <f>IF(D16="","",ROUND(D16/(1+'3 Unit economics'!$C$7)-E16-F16-G16-H16-I16-J16,0))</f>
        <v/>
      </c>
      <c r="L16" s="15" t="str">
        <f>IF(D16="","",K16/(D16/(1+'3 Unit economics'!$C$7)))</f>
        <v/>
      </c>
      <c r="M16" s="15" t="str">
        <f t="shared" si="0"/>
        <v/>
      </c>
    </row>
    <row r="17" spans="2:13" x14ac:dyDescent="0.2">
      <c r="B17" s="11" t="s">
        <v>87</v>
      </c>
      <c r="C17" s="12"/>
      <c r="D17" s="12"/>
      <c r="E17" s="12"/>
      <c r="F17" s="12"/>
      <c r="G17" s="12"/>
      <c r="H17" s="12"/>
      <c r="I17" s="13" t="str">
        <f>IF(C17="","",ROUND(C17*'6 Order size'!$C$15,0))</f>
        <v/>
      </c>
      <c r="J17" s="13" t="str">
        <f>IF(D17="","",ROUND('3 Unit economics'!$C$18*D17/(1+'3 Unit economics'!$C$7),0))</f>
        <v/>
      </c>
      <c r="K17" s="17" t="str">
        <f>IF(D17="","",ROUND(D17/(1+'3 Unit economics'!$C$7)-E17-F17-G17-H17-I17-J17,0))</f>
        <v/>
      </c>
      <c r="L17" s="15" t="str">
        <f>IF(D17="","",K17/(D17/(1+'3 Unit economics'!$C$7)))</f>
        <v/>
      </c>
      <c r="M17" s="15" t="str">
        <f t="shared" si="0"/>
        <v/>
      </c>
    </row>
    <row r="18" spans="2:13" x14ac:dyDescent="0.2">
      <c r="B18" s="5" t="s">
        <v>88</v>
      </c>
      <c r="C18" s="17">
        <f t="shared" ref="C18:K18" si="1">SUM(C6:C17)</f>
        <v>90</v>
      </c>
      <c r="D18" s="17">
        <f t="shared" si="1"/>
        <v>5399</v>
      </c>
      <c r="E18" s="17">
        <f t="shared" si="1"/>
        <v>1260</v>
      </c>
      <c r="F18" s="17">
        <f t="shared" si="1"/>
        <v>180</v>
      </c>
      <c r="G18" s="17">
        <f t="shared" si="1"/>
        <v>620</v>
      </c>
      <c r="H18" s="17">
        <f t="shared" si="1"/>
        <v>90</v>
      </c>
      <c r="I18" s="17">
        <f t="shared" si="1"/>
        <v>1164</v>
      </c>
      <c r="J18" s="17">
        <f t="shared" si="1"/>
        <v>45</v>
      </c>
      <c r="K18" s="17">
        <f t="shared" si="1"/>
        <v>1178</v>
      </c>
      <c r="L18" s="18">
        <f>IF(D18=0,"",K18/(D18/(1+'3 Unit economics'!$C$7)))</f>
        <v>0.25964437858862749</v>
      </c>
      <c r="M18" s="18">
        <f>IF(D18=0,"",G18/D18)</f>
        <v>0.1148360807556955</v>
      </c>
    </row>
    <row r="20" spans="2:13" ht="260" x14ac:dyDescent="0.2">
      <c r="B20" s="3" t="s">
        <v>425</v>
      </c>
    </row>
    <row r="21" spans="2:13" ht="247" x14ac:dyDescent="0.2">
      <c r="B21" s="3" t="s">
        <v>426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B1:F136"/>
  <sheetViews>
    <sheetView workbookViewId="0"/>
  </sheetViews>
  <sheetFormatPr baseColWidth="10" defaultColWidth="8.83203125" defaultRowHeight="15" x14ac:dyDescent="0.2"/>
  <cols>
    <col min="1" max="1" width="2" customWidth="1"/>
    <col min="2" max="2" width="14" customWidth="1"/>
    <col min="3" max="3" width="16" customWidth="1"/>
    <col min="4" max="4" width="14" customWidth="1"/>
    <col min="5" max="5" width="9" customWidth="1"/>
    <col min="6" max="6" width="30" customWidth="1"/>
    <col min="7" max="7" width="40" customWidth="1"/>
  </cols>
  <sheetData>
    <row r="1" spans="2:6" x14ac:dyDescent="0.2">
      <c r="B1" s="6" t="str">
        <f>HYPERLINK("#Start!B2","← Start")</f>
        <v>← Start</v>
      </c>
    </row>
    <row r="2" spans="2:6" ht="16" x14ac:dyDescent="0.2">
      <c r="B2" s="1" t="s">
        <v>427</v>
      </c>
    </row>
    <row r="3" spans="2:6" ht="224" x14ac:dyDescent="0.2">
      <c r="B3" s="2" t="s">
        <v>428</v>
      </c>
    </row>
    <row r="5" spans="2:6" x14ac:dyDescent="0.2">
      <c r="B5" s="5" t="s">
        <v>429</v>
      </c>
      <c r="C5" s="23">
        <f>COUNTIF($F$12:$F$61,"NOT REIMBURSED — check &amp; claim")</f>
        <v>1</v>
      </c>
    </row>
    <row r="7" spans="2:6" ht="156" x14ac:dyDescent="0.2">
      <c r="B7" s="3" t="s">
        <v>430</v>
      </c>
    </row>
    <row r="11" spans="2:6" x14ac:dyDescent="0.2">
      <c r="B11" s="4" t="s">
        <v>431</v>
      </c>
      <c r="C11" s="4" t="s">
        <v>432</v>
      </c>
      <c r="D11" s="4" t="s">
        <v>433</v>
      </c>
      <c r="E11" s="4" t="s">
        <v>434</v>
      </c>
      <c r="F11" s="4" t="s">
        <v>435</v>
      </c>
    </row>
    <row r="12" spans="2:6" x14ac:dyDescent="0.2">
      <c r="B12" s="10">
        <v>46206</v>
      </c>
      <c r="C12" s="9" t="s">
        <v>436</v>
      </c>
      <c r="D12" s="9" t="s">
        <v>437</v>
      </c>
      <c r="E12" s="22">
        <v>2</v>
      </c>
      <c r="F12" s="11" t="str">
        <f t="shared" ref="F12:F43" si="0">IF($C12="","",IF(COUNTIF($C$68:$C$117,$C12)&gt;0,"Reimbursement found — verify amount","NOT REIMBURSED — check &amp; claim"))</f>
        <v>Reimbursement found — verify amount</v>
      </c>
    </row>
    <row r="13" spans="2:6" x14ac:dyDescent="0.2">
      <c r="B13" s="10">
        <v>46222</v>
      </c>
      <c r="C13" s="9" t="s">
        <v>438</v>
      </c>
      <c r="D13" s="9" t="s">
        <v>439</v>
      </c>
      <c r="E13" s="22">
        <v>1</v>
      </c>
      <c r="F13" s="11" t="str">
        <f t="shared" si="0"/>
        <v>NOT REIMBURSED — check &amp; claim</v>
      </c>
    </row>
    <row r="14" spans="2:6" x14ac:dyDescent="0.2">
      <c r="B14" s="10"/>
      <c r="C14" s="9"/>
      <c r="D14" s="9"/>
      <c r="E14" s="22"/>
      <c r="F14" s="11" t="str">
        <f t="shared" si="0"/>
        <v/>
      </c>
    </row>
    <row r="15" spans="2:6" x14ac:dyDescent="0.2">
      <c r="B15" s="10"/>
      <c r="C15" s="9"/>
      <c r="D15" s="9"/>
      <c r="E15" s="22"/>
      <c r="F15" s="11" t="str">
        <f t="shared" si="0"/>
        <v/>
      </c>
    </row>
    <row r="16" spans="2:6" x14ac:dyDescent="0.2">
      <c r="B16" s="10"/>
      <c r="C16" s="9"/>
      <c r="D16" s="9"/>
      <c r="E16" s="22"/>
      <c r="F16" s="11" t="str">
        <f t="shared" si="0"/>
        <v/>
      </c>
    </row>
    <row r="17" spans="2:6" x14ac:dyDescent="0.2">
      <c r="B17" s="10"/>
      <c r="C17" s="9"/>
      <c r="D17" s="9"/>
      <c r="E17" s="22"/>
      <c r="F17" s="11" t="str">
        <f t="shared" si="0"/>
        <v/>
      </c>
    </row>
    <row r="18" spans="2:6" x14ac:dyDescent="0.2">
      <c r="B18" s="10"/>
      <c r="C18" s="9"/>
      <c r="D18" s="9"/>
      <c r="E18" s="22"/>
      <c r="F18" s="11" t="str">
        <f t="shared" si="0"/>
        <v/>
      </c>
    </row>
    <row r="19" spans="2:6" x14ac:dyDescent="0.2">
      <c r="B19" s="10"/>
      <c r="C19" s="9"/>
      <c r="D19" s="9"/>
      <c r="E19" s="22"/>
      <c r="F19" s="11" t="str">
        <f t="shared" si="0"/>
        <v/>
      </c>
    </row>
    <row r="20" spans="2:6" x14ac:dyDescent="0.2">
      <c r="B20" s="10"/>
      <c r="C20" s="9"/>
      <c r="D20" s="9"/>
      <c r="E20" s="22"/>
      <c r="F20" s="11" t="str">
        <f t="shared" si="0"/>
        <v/>
      </c>
    </row>
    <row r="21" spans="2:6" x14ac:dyDescent="0.2">
      <c r="B21" s="10"/>
      <c r="C21" s="9"/>
      <c r="D21" s="9"/>
      <c r="E21" s="22"/>
      <c r="F21" s="11" t="str">
        <f t="shared" si="0"/>
        <v/>
      </c>
    </row>
    <row r="22" spans="2:6" x14ac:dyDescent="0.2">
      <c r="B22" s="10"/>
      <c r="C22" s="9"/>
      <c r="D22" s="9"/>
      <c r="E22" s="22"/>
      <c r="F22" s="11" t="str">
        <f t="shared" si="0"/>
        <v/>
      </c>
    </row>
    <row r="23" spans="2:6" x14ac:dyDescent="0.2">
      <c r="B23" s="10"/>
      <c r="C23" s="9"/>
      <c r="D23" s="9"/>
      <c r="E23" s="22"/>
      <c r="F23" s="11" t="str">
        <f t="shared" si="0"/>
        <v/>
      </c>
    </row>
    <row r="24" spans="2:6" x14ac:dyDescent="0.2">
      <c r="B24" s="10"/>
      <c r="C24" s="9"/>
      <c r="D24" s="9"/>
      <c r="E24" s="22"/>
      <c r="F24" s="11" t="str">
        <f t="shared" si="0"/>
        <v/>
      </c>
    </row>
    <row r="25" spans="2:6" x14ac:dyDescent="0.2">
      <c r="B25" s="10"/>
      <c r="C25" s="9"/>
      <c r="D25" s="9"/>
      <c r="E25" s="22"/>
      <c r="F25" s="11" t="str">
        <f t="shared" si="0"/>
        <v/>
      </c>
    </row>
    <row r="26" spans="2:6" x14ac:dyDescent="0.2">
      <c r="B26" s="10"/>
      <c r="C26" s="9"/>
      <c r="D26" s="9"/>
      <c r="E26" s="22"/>
      <c r="F26" s="11" t="str">
        <f t="shared" si="0"/>
        <v/>
      </c>
    </row>
    <row r="27" spans="2:6" x14ac:dyDescent="0.2">
      <c r="B27" s="10"/>
      <c r="C27" s="9"/>
      <c r="D27" s="9"/>
      <c r="E27" s="22"/>
      <c r="F27" s="11" t="str">
        <f t="shared" si="0"/>
        <v/>
      </c>
    </row>
    <row r="28" spans="2:6" x14ac:dyDescent="0.2">
      <c r="B28" s="10"/>
      <c r="C28" s="9"/>
      <c r="D28" s="9"/>
      <c r="E28" s="22"/>
      <c r="F28" s="11" t="str">
        <f t="shared" si="0"/>
        <v/>
      </c>
    </row>
    <row r="29" spans="2:6" x14ac:dyDescent="0.2">
      <c r="B29" s="10"/>
      <c r="C29" s="9"/>
      <c r="D29" s="9"/>
      <c r="E29" s="22"/>
      <c r="F29" s="11" t="str">
        <f t="shared" si="0"/>
        <v/>
      </c>
    </row>
    <row r="30" spans="2:6" x14ac:dyDescent="0.2">
      <c r="B30" s="10"/>
      <c r="C30" s="9"/>
      <c r="D30" s="9"/>
      <c r="E30" s="22"/>
      <c r="F30" s="11" t="str">
        <f t="shared" si="0"/>
        <v/>
      </c>
    </row>
    <row r="31" spans="2:6" x14ac:dyDescent="0.2">
      <c r="B31" s="10"/>
      <c r="C31" s="9"/>
      <c r="D31" s="9"/>
      <c r="E31" s="22"/>
      <c r="F31" s="11" t="str">
        <f t="shared" si="0"/>
        <v/>
      </c>
    </row>
    <row r="32" spans="2:6" x14ac:dyDescent="0.2">
      <c r="B32" s="10"/>
      <c r="C32" s="9"/>
      <c r="D32" s="9"/>
      <c r="E32" s="22"/>
      <c r="F32" s="11" t="str">
        <f t="shared" si="0"/>
        <v/>
      </c>
    </row>
    <row r="33" spans="2:6" x14ac:dyDescent="0.2">
      <c r="B33" s="10"/>
      <c r="C33" s="9"/>
      <c r="D33" s="9"/>
      <c r="E33" s="22"/>
      <c r="F33" s="11" t="str">
        <f t="shared" si="0"/>
        <v/>
      </c>
    </row>
    <row r="34" spans="2:6" x14ac:dyDescent="0.2">
      <c r="B34" s="10"/>
      <c r="C34" s="9"/>
      <c r="D34" s="9"/>
      <c r="E34" s="22"/>
      <c r="F34" s="11" t="str">
        <f t="shared" si="0"/>
        <v/>
      </c>
    </row>
    <row r="35" spans="2:6" x14ac:dyDescent="0.2">
      <c r="B35" s="10"/>
      <c r="C35" s="9"/>
      <c r="D35" s="9"/>
      <c r="E35" s="22"/>
      <c r="F35" s="11" t="str">
        <f t="shared" si="0"/>
        <v/>
      </c>
    </row>
    <row r="36" spans="2:6" x14ac:dyDescent="0.2">
      <c r="B36" s="10"/>
      <c r="C36" s="9"/>
      <c r="D36" s="9"/>
      <c r="E36" s="22"/>
      <c r="F36" s="11" t="str">
        <f t="shared" si="0"/>
        <v/>
      </c>
    </row>
    <row r="37" spans="2:6" x14ac:dyDescent="0.2">
      <c r="B37" s="10"/>
      <c r="C37" s="9"/>
      <c r="D37" s="9"/>
      <c r="E37" s="22"/>
      <c r="F37" s="11" t="str">
        <f t="shared" si="0"/>
        <v/>
      </c>
    </row>
    <row r="38" spans="2:6" x14ac:dyDescent="0.2">
      <c r="B38" s="10"/>
      <c r="C38" s="9"/>
      <c r="D38" s="9"/>
      <c r="E38" s="22"/>
      <c r="F38" s="11" t="str">
        <f t="shared" si="0"/>
        <v/>
      </c>
    </row>
    <row r="39" spans="2:6" x14ac:dyDescent="0.2">
      <c r="B39" s="10"/>
      <c r="C39" s="9"/>
      <c r="D39" s="9"/>
      <c r="E39" s="22"/>
      <c r="F39" s="11" t="str">
        <f t="shared" si="0"/>
        <v/>
      </c>
    </row>
    <row r="40" spans="2:6" x14ac:dyDescent="0.2">
      <c r="B40" s="10"/>
      <c r="C40" s="9"/>
      <c r="D40" s="9"/>
      <c r="E40" s="22"/>
      <c r="F40" s="11" t="str">
        <f t="shared" si="0"/>
        <v/>
      </c>
    </row>
    <row r="41" spans="2:6" x14ac:dyDescent="0.2">
      <c r="B41" s="10"/>
      <c r="C41" s="9"/>
      <c r="D41" s="9"/>
      <c r="E41" s="22"/>
      <c r="F41" s="11" t="str">
        <f t="shared" si="0"/>
        <v/>
      </c>
    </row>
    <row r="42" spans="2:6" x14ac:dyDescent="0.2">
      <c r="B42" s="10"/>
      <c r="C42" s="9"/>
      <c r="D42" s="9"/>
      <c r="E42" s="22"/>
      <c r="F42" s="11" t="str">
        <f t="shared" si="0"/>
        <v/>
      </c>
    </row>
    <row r="43" spans="2:6" x14ac:dyDescent="0.2">
      <c r="B43" s="10"/>
      <c r="C43" s="9"/>
      <c r="D43" s="9"/>
      <c r="E43" s="22"/>
      <c r="F43" s="11" t="str">
        <f t="shared" si="0"/>
        <v/>
      </c>
    </row>
    <row r="44" spans="2:6" x14ac:dyDescent="0.2">
      <c r="B44" s="10"/>
      <c r="C44" s="9"/>
      <c r="D44" s="9"/>
      <c r="E44" s="22"/>
      <c r="F44" s="11" t="str">
        <f t="shared" ref="F44:F61" si="1">IF($C44="","",IF(COUNTIF($C$68:$C$117,$C44)&gt;0,"Reimbursement found — verify amount","NOT REIMBURSED — check &amp; claim"))</f>
        <v/>
      </c>
    </row>
    <row r="45" spans="2:6" x14ac:dyDescent="0.2">
      <c r="B45" s="10"/>
      <c r="C45" s="9"/>
      <c r="D45" s="9"/>
      <c r="E45" s="22"/>
      <c r="F45" s="11" t="str">
        <f t="shared" si="1"/>
        <v/>
      </c>
    </row>
    <row r="46" spans="2:6" x14ac:dyDescent="0.2">
      <c r="B46" s="10"/>
      <c r="C46" s="9"/>
      <c r="D46" s="9"/>
      <c r="E46" s="22"/>
      <c r="F46" s="11" t="str">
        <f t="shared" si="1"/>
        <v/>
      </c>
    </row>
    <row r="47" spans="2:6" x14ac:dyDescent="0.2">
      <c r="B47" s="10"/>
      <c r="C47" s="9"/>
      <c r="D47" s="9"/>
      <c r="E47" s="22"/>
      <c r="F47" s="11" t="str">
        <f t="shared" si="1"/>
        <v/>
      </c>
    </row>
    <row r="48" spans="2:6" x14ac:dyDescent="0.2">
      <c r="B48" s="10"/>
      <c r="C48" s="9"/>
      <c r="D48" s="9"/>
      <c r="E48" s="22"/>
      <c r="F48" s="11" t="str">
        <f t="shared" si="1"/>
        <v/>
      </c>
    </row>
    <row r="49" spans="2:6" x14ac:dyDescent="0.2">
      <c r="B49" s="10"/>
      <c r="C49" s="9"/>
      <c r="D49" s="9"/>
      <c r="E49" s="22"/>
      <c r="F49" s="11" t="str">
        <f t="shared" si="1"/>
        <v/>
      </c>
    </row>
    <row r="50" spans="2:6" x14ac:dyDescent="0.2">
      <c r="B50" s="10"/>
      <c r="C50" s="9"/>
      <c r="D50" s="9"/>
      <c r="E50" s="22"/>
      <c r="F50" s="11" t="str">
        <f t="shared" si="1"/>
        <v/>
      </c>
    </row>
    <row r="51" spans="2:6" x14ac:dyDescent="0.2">
      <c r="B51" s="10"/>
      <c r="C51" s="9"/>
      <c r="D51" s="9"/>
      <c r="E51" s="22"/>
      <c r="F51" s="11" t="str">
        <f t="shared" si="1"/>
        <v/>
      </c>
    </row>
    <row r="52" spans="2:6" x14ac:dyDescent="0.2">
      <c r="B52" s="10"/>
      <c r="C52" s="9"/>
      <c r="D52" s="9"/>
      <c r="E52" s="22"/>
      <c r="F52" s="11" t="str">
        <f t="shared" si="1"/>
        <v/>
      </c>
    </row>
    <row r="53" spans="2:6" x14ac:dyDescent="0.2">
      <c r="B53" s="10"/>
      <c r="C53" s="9"/>
      <c r="D53" s="9"/>
      <c r="E53" s="22"/>
      <c r="F53" s="11" t="str">
        <f t="shared" si="1"/>
        <v/>
      </c>
    </row>
    <row r="54" spans="2:6" x14ac:dyDescent="0.2">
      <c r="B54" s="10"/>
      <c r="C54" s="9"/>
      <c r="D54" s="9"/>
      <c r="E54" s="22"/>
      <c r="F54" s="11" t="str">
        <f t="shared" si="1"/>
        <v/>
      </c>
    </row>
    <row r="55" spans="2:6" x14ac:dyDescent="0.2">
      <c r="B55" s="10"/>
      <c r="C55" s="9"/>
      <c r="D55" s="9"/>
      <c r="E55" s="22"/>
      <c r="F55" s="11" t="str">
        <f t="shared" si="1"/>
        <v/>
      </c>
    </row>
    <row r="56" spans="2:6" x14ac:dyDescent="0.2">
      <c r="B56" s="10"/>
      <c r="C56" s="9"/>
      <c r="D56" s="9"/>
      <c r="E56" s="22"/>
      <c r="F56" s="11" t="str">
        <f t="shared" si="1"/>
        <v/>
      </c>
    </row>
    <row r="57" spans="2:6" x14ac:dyDescent="0.2">
      <c r="B57" s="10"/>
      <c r="C57" s="9"/>
      <c r="D57" s="9"/>
      <c r="E57" s="22"/>
      <c r="F57" s="11" t="str">
        <f t="shared" si="1"/>
        <v/>
      </c>
    </row>
    <row r="58" spans="2:6" x14ac:dyDescent="0.2">
      <c r="B58" s="10"/>
      <c r="C58" s="9"/>
      <c r="D58" s="9"/>
      <c r="E58" s="22"/>
      <c r="F58" s="11" t="str">
        <f t="shared" si="1"/>
        <v/>
      </c>
    </row>
    <row r="59" spans="2:6" x14ac:dyDescent="0.2">
      <c r="B59" s="10"/>
      <c r="C59" s="9"/>
      <c r="D59" s="9"/>
      <c r="E59" s="22"/>
      <c r="F59" s="11" t="str">
        <f t="shared" si="1"/>
        <v/>
      </c>
    </row>
    <row r="60" spans="2:6" x14ac:dyDescent="0.2">
      <c r="B60" s="10"/>
      <c r="C60" s="9"/>
      <c r="D60" s="9"/>
      <c r="E60" s="22"/>
      <c r="F60" s="11" t="str">
        <f t="shared" si="1"/>
        <v/>
      </c>
    </row>
    <row r="61" spans="2:6" x14ac:dyDescent="0.2">
      <c r="B61" s="10"/>
      <c r="C61" s="9"/>
      <c r="D61" s="9"/>
      <c r="E61" s="22"/>
      <c r="F61" s="11" t="str">
        <f t="shared" si="1"/>
        <v/>
      </c>
    </row>
    <row r="64" spans="2:6" ht="117" x14ac:dyDescent="0.2">
      <c r="B64" s="3" t="s">
        <v>440</v>
      </c>
    </row>
    <row r="67" spans="2:4" x14ac:dyDescent="0.2">
      <c r="B67" s="4" t="s">
        <v>431</v>
      </c>
      <c r="C67" s="4" t="s">
        <v>432</v>
      </c>
      <c r="D67" s="4" t="s">
        <v>441</v>
      </c>
    </row>
    <row r="68" spans="2:4" x14ac:dyDescent="0.2">
      <c r="B68" s="10">
        <v>46224</v>
      </c>
      <c r="C68" s="9" t="s">
        <v>436</v>
      </c>
      <c r="D68" s="25">
        <v>18.399999999999999</v>
      </c>
    </row>
    <row r="69" spans="2:4" x14ac:dyDescent="0.2">
      <c r="B69" s="10"/>
      <c r="C69" s="9"/>
      <c r="D69" s="25"/>
    </row>
    <row r="70" spans="2:4" x14ac:dyDescent="0.2">
      <c r="B70" s="10"/>
      <c r="C70" s="9"/>
      <c r="D70" s="25"/>
    </row>
    <row r="71" spans="2:4" x14ac:dyDescent="0.2">
      <c r="B71" s="10"/>
      <c r="C71" s="9"/>
      <c r="D71" s="25"/>
    </row>
    <row r="72" spans="2:4" x14ac:dyDescent="0.2">
      <c r="B72" s="10"/>
      <c r="C72" s="9"/>
      <c r="D72" s="25"/>
    </row>
    <row r="73" spans="2:4" x14ac:dyDescent="0.2">
      <c r="B73" s="10"/>
      <c r="C73" s="9"/>
      <c r="D73" s="25"/>
    </row>
    <row r="74" spans="2:4" x14ac:dyDescent="0.2">
      <c r="B74" s="10"/>
      <c r="C74" s="9"/>
      <c r="D74" s="25"/>
    </row>
    <row r="75" spans="2:4" x14ac:dyDescent="0.2">
      <c r="B75" s="10"/>
      <c r="C75" s="9"/>
      <c r="D75" s="25"/>
    </row>
    <row r="76" spans="2:4" x14ac:dyDescent="0.2">
      <c r="B76" s="10"/>
      <c r="C76" s="9"/>
      <c r="D76" s="25"/>
    </row>
    <row r="77" spans="2:4" x14ac:dyDescent="0.2">
      <c r="B77" s="10"/>
      <c r="C77" s="9"/>
      <c r="D77" s="25"/>
    </row>
    <row r="78" spans="2:4" x14ac:dyDescent="0.2">
      <c r="B78" s="10"/>
      <c r="C78" s="9"/>
      <c r="D78" s="25"/>
    </row>
    <row r="79" spans="2:4" x14ac:dyDescent="0.2">
      <c r="B79" s="10"/>
      <c r="C79" s="9"/>
      <c r="D79" s="25"/>
    </row>
    <row r="80" spans="2:4" x14ac:dyDescent="0.2">
      <c r="B80" s="10"/>
      <c r="C80" s="9"/>
      <c r="D80" s="25"/>
    </row>
    <row r="81" spans="2:4" x14ac:dyDescent="0.2">
      <c r="B81" s="10"/>
      <c r="C81" s="9"/>
      <c r="D81" s="25"/>
    </row>
    <row r="82" spans="2:4" x14ac:dyDescent="0.2">
      <c r="B82" s="10"/>
      <c r="C82" s="9"/>
      <c r="D82" s="25"/>
    </row>
    <row r="83" spans="2:4" x14ac:dyDescent="0.2">
      <c r="B83" s="10"/>
      <c r="C83" s="9"/>
      <c r="D83" s="25"/>
    </row>
    <row r="84" spans="2:4" x14ac:dyDescent="0.2">
      <c r="B84" s="10"/>
      <c r="C84" s="9"/>
      <c r="D84" s="25"/>
    </row>
    <row r="85" spans="2:4" x14ac:dyDescent="0.2">
      <c r="B85" s="10"/>
      <c r="C85" s="9"/>
      <c r="D85" s="25"/>
    </row>
    <row r="86" spans="2:4" x14ac:dyDescent="0.2">
      <c r="B86" s="10"/>
      <c r="C86" s="9"/>
      <c r="D86" s="25"/>
    </row>
    <row r="87" spans="2:4" x14ac:dyDescent="0.2">
      <c r="B87" s="10"/>
      <c r="C87" s="9"/>
      <c r="D87" s="25"/>
    </row>
    <row r="88" spans="2:4" x14ac:dyDescent="0.2">
      <c r="B88" s="10"/>
      <c r="C88" s="9"/>
      <c r="D88" s="25"/>
    </row>
    <row r="89" spans="2:4" x14ac:dyDescent="0.2">
      <c r="B89" s="10"/>
      <c r="C89" s="9"/>
      <c r="D89" s="25"/>
    </row>
    <row r="90" spans="2:4" x14ac:dyDescent="0.2">
      <c r="B90" s="10"/>
      <c r="C90" s="9"/>
      <c r="D90" s="25"/>
    </row>
    <row r="91" spans="2:4" x14ac:dyDescent="0.2">
      <c r="B91" s="10"/>
      <c r="C91" s="9"/>
      <c r="D91" s="25"/>
    </row>
    <row r="92" spans="2:4" x14ac:dyDescent="0.2">
      <c r="B92" s="10"/>
      <c r="C92" s="9"/>
      <c r="D92" s="25"/>
    </row>
    <row r="93" spans="2:4" x14ac:dyDescent="0.2">
      <c r="B93" s="10"/>
      <c r="C93" s="9"/>
      <c r="D93" s="25"/>
    </row>
    <row r="94" spans="2:4" x14ac:dyDescent="0.2">
      <c r="B94" s="10"/>
      <c r="C94" s="9"/>
      <c r="D94" s="25"/>
    </row>
    <row r="95" spans="2:4" x14ac:dyDescent="0.2">
      <c r="B95" s="10"/>
      <c r="C95" s="9"/>
      <c r="D95" s="25"/>
    </row>
    <row r="96" spans="2:4" x14ac:dyDescent="0.2">
      <c r="B96" s="10"/>
      <c r="C96" s="9"/>
      <c r="D96" s="25"/>
    </row>
    <row r="97" spans="2:4" x14ac:dyDescent="0.2">
      <c r="B97" s="10"/>
      <c r="C97" s="9"/>
      <c r="D97" s="25"/>
    </row>
    <row r="98" spans="2:4" x14ac:dyDescent="0.2">
      <c r="B98" s="10"/>
      <c r="C98" s="9"/>
      <c r="D98" s="25"/>
    </row>
    <row r="99" spans="2:4" x14ac:dyDescent="0.2">
      <c r="B99" s="10"/>
      <c r="C99" s="9"/>
      <c r="D99" s="25"/>
    </row>
    <row r="100" spans="2:4" x14ac:dyDescent="0.2">
      <c r="B100" s="10"/>
      <c r="C100" s="9"/>
      <c r="D100" s="25"/>
    </row>
    <row r="101" spans="2:4" x14ac:dyDescent="0.2">
      <c r="B101" s="10"/>
      <c r="C101" s="9"/>
      <c r="D101" s="25"/>
    </row>
    <row r="102" spans="2:4" x14ac:dyDescent="0.2">
      <c r="B102" s="10"/>
      <c r="C102" s="9"/>
      <c r="D102" s="25"/>
    </row>
    <row r="103" spans="2:4" x14ac:dyDescent="0.2">
      <c r="B103" s="10"/>
      <c r="C103" s="9"/>
      <c r="D103" s="25"/>
    </row>
    <row r="104" spans="2:4" x14ac:dyDescent="0.2">
      <c r="B104" s="10"/>
      <c r="C104" s="9"/>
      <c r="D104" s="25"/>
    </row>
    <row r="105" spans="2:4" x14ac:dyDescent="0.2">
      <c r="B105" s="10"/>
      <c r="C105" s="9"/>
      <c r="D105" s="25"/>
    </row>
    <row r="106" spans="2:4" x14ac:dyDescent="0.2">
      <c r="B106" s="10"/>
      <c r="C106" s="9"/>
      <c r="D106" s="25"/>
    </row>
    <row r="107" spans="2:4" x14ac:dyDescent="0.2">
      <c r="B107" s="10"/>
      <c r="C107" s="9"/>
      <c r="D107" s="25"/>
    </row>
    <row r="108" spans="2:4" x14ac:dyDescent="0.2">
      <c r="B108" s="10"/>
      <c r="C108" s="9"/>
      <c r="D108" s="25"/>
    </row>
    <row r="109" spans="2:4" x14ac:dyDescent="0.2">
      <c r="B109" s="10"/>
      <c r="C109" s="9"/>
      <c r="D109" s="25"/>
    </row>
    <row r="110" spans="2:4" x14ac:dyDescent="0.2">
      <c r="B110" s="10"/>
      <c r="C110" s="9"/>
      <c r="D110" s="25"/>
    </row>
    <row r="111" spans="2:4" x14ac:dyDescent="0.2">
      <c r="B111" s="10"/>
      <c r="C111" s="9"/>
      <c r="D111" s="25"/>
    </row>
    <row r="112" spans="2:4" x14ac:dyDescent="0.2">
      <c r="B112" s="10"/>
      <c r="C112" s="9"/>
      <c r="D112" s="25"/>
    </row>
    <row r="113" spans="2:4" x14ac:dyDescent="0.2">
      <c r="B113" s="10"/>
      <c r="C113" s="9"/>
      <c r="D113" s="25"/>
    </row>
    <row r="114" spans="2:4" x14ac:dyDescent="0.2">
      <c r="B114" s="10"/>
      <c r="C114" s="9"/>
      <c r="D114" s="25"/>
    </row>
    <row r="115" spans="2:4" x14ac:dyDescent="0.2">
      <c r="B115" s="10"/>
      <c r="C115" s="9"/>
      <c r="D115" s="25"/>
    </row>
    <row r="116" spans="2:4" x14ac:dyDescent="0.2">
      <c r="B116" s="10"/>
      <c r="C116" s="9"/>
      <c r="D116" s="25"/>
    </row>
    <row r="117" spans="2:4" x14ac:dyDescent="0.2">
      <c r="B117" s="10"/>
      <c r="C117" s="9"/>
      <c r="D117" s="25"/>
    </row>
    <row r="120" spans="2:4" x14ac:dyDescent="0.2">
      <c r="B120" s="4" t="s">
        <v>442</v>
      </c>
    </row>
    <row r="121" spans="2:4" x14ac:dyDescent="0.2">
      <c r="B121" s="11" t="s">
        <v>443</v>
      </c>
      <c r="C121" s="35">
        <v>25</v>
      </c>
    </row>
    <row r="122" spans="2:4" x14ac:dyDescent="0.2">
      <c r="B122" s="11" t="s">
        <v>444</v>
      </c>
      <c r="C122" s="35">
        <v>18</v>
      </c>
    </row>
    <row r="123" spans="2:4" x14ac:dyDescent="0.2">
      <c r="B123" s="11" t="s">
        <v>445</v>
      </c>
      <c r="C123" s="35">
        <v>4</v>
      </c>
    </row>
    <row r="124" spans="2:4" x14ac:dyDescent="0.2">
      <c r="B124" s="11" t="s">
        <v>446</v>
      </c>
      <c r="C124" s="22">
        <v>350</v>
      </c>
    </row>
    <row r="125" spans="2:4" x14ac:dyDescent="0.2">
      <c r="B125" s="11" t="s">
        <v>447</v>
      </c>
      <c r="C125" s="25">
        <v>4.55</v>
      </c>
    </row>
    <row r="126" spans="2:4" x14ac:dyDescent="0.2">
      <c r="B126" s="11" t="s">
        <v>448</v>
      </c>
      <c r="C126" s="14">
        <f>ROUND(C121*C122*C123/1000,2)</f>
        <v>1.8</v>
      </c>
    </row>
    <row r="127" spans="2:4" x14ac:dyDescent="0.2">
      <c r="B127" s="11" t="s">
        <v>449</v>
      </c>
      <c r="C127" s="29">
        <f>MAX(C121:C123)</f>
        <v>25</v>
      </c>
    </row>
    <row r="129" spans="2:3" ht="247" x14ac:dyDescent="0.2">
      <c r="B129" s="3" t="s">
        <v>450</v>
      </c>
    </row>
    <row r="131" spans="2:3" x14ac:dyDescent="0.2">
      <c r="B131" s="4" t="s">
        <v>451</v>
      </c>
      <c r="C131" s="4" t="s">
        <v>452</v>
      </c>
    </row>
    <row r="132" spans="2:3" ht="56" x14ac:dyDescent="0.2">
      <c r="B132" s="2" t="s">
        <v>453</v>
      </c>
      <c r="C132" s="9" t="s">
        <v>292</v>
      </c>
    </row>
    <row r="133" spans="2:3" ht="42" x14ac:dyDescent="0.2">
      <c r="B133" s="2" t="s">
        <v>454</v>
      </c>
      <c r="C133" s="9" t="s">
        <v>292</v>
      </c>
    </row>
    <row r="134" spans="2:3" ht="42" x14ac:dyDescent="0.2">
      <c r="B134" s="2" t="s">
        <v>455</v>
      </c>
      <c r="C134" s="9" t="s">
        <v>292</v>
      </c>
    </row>
    <row r="135" spans="2:3" ht="70" x14ac:dyDescent="0.2">
      <c r="B135" s="2" t="s">
        <v>456</v>
      </c>
      <c r="C135" s="9" t="s">
        <v>292</v>
      </c>
    </row>
    <row r="136" spans="2:3" ht="56" x14ac:dyDescent="0.2">
      <c r="B136" s="2" t="s">
        <v>457</v>
      </c>
      <c r="C136" s="9" t="s">
        <v>292</v>
      </c>
    </row>
  </sheetData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B1:D33"/>
  <sheetViews>
    <sheetView workbookViewId="0"/>
  </sheetViews>
  <sheetFormatPr baseColWidth="10" defaultColWidth="8.83203125" defaultRowHeight="15" x14ac:dyDescent="0.2"/>
  <cols>
    <col min="1" max="1" width="2" customWidth="1"/>
    <col min="2" max="2" width="42" customWidth="1"/>
    <col min="3" max="3" width="12" customWidth="1"/>
    <col min="4" max="4" width="10" customWidth="1"/>
    <col min="5" max="5" width="58" customWidth="1"/>
  </cols>
  <sheetData>
    <row r="1" spans="2:4" x14ac:dyDescent="0.2">
      <c r="B1" s="6" t="str">
        <f>HYPERLINK("#Start!B2","← Start")</f>
        <v>← Start</v>
      </c>
    </row>
    <row r="2" spans="2:4" ht="16" x14ac:dyDescent="0.2">
      <c r="B2" s="1" t="s">
        <v>458</v>
      </c>
    </row>
    <row r="3" spans="2:4" ht="70" x14ac:dyDescent="0.2">
      <c r="B3" s="2" t="s">
        <v>459</v>
      </c>
    </row>
    <row r="5" spans="2:4" x14ac:dyDescent="0.2">
      <c r="B5" s="11" t="s">
        <v>460</v>
      </c>
      <c r="C5" s="9" t="s">
        <v>461</v>
      </c>
    </row>
    <row r="7" spans="2:4" x14ac:dyDescent="0.2">
      <c r="B7" s="4" t="s">
        <v>462</v>
      </c>
      <c r="C7" s="4" t="s">
        <v>463</v>
      </c>
      <c r="D7" s="4" t="s">
        <v>464</v>
      </c>
    </row>
    <row r="8" spans="2:4" x14ac:dyDescent="0.2">
      <c r="B8" s="9" t="s">
        <v>465</v>
      </c>
      <c r="C8" s="22">
        <v>46</v>
      </c>
      <c r="D8" s="15">
        <f t="shared" ref="D8:D17" si="0">IF(C8="","",C8/SUM($C$8:$C$17))</f>
        <v>0.42592592592592593</v>
      </c>
    </row>
    <row r="9" spans="2:4" x14ac:dyDescent="0.2">
      <c r="B9" s="9" t="s">
        <v>466</v>
      </c>
      <c r="C9" s="22">
        <v>21</v>
      </c>
      <c r="D9" s="15">
        <f t="shared" si="0"/>
        <v>0.19444444444444445</v>
      </c>
    </row>
    <row r="10" spans="2:4" x14ac:dyDescent="0.2">
      <c r="B10" s="9" t="s">
        <v>467</v>
      </c>
      <c r="C10" s="22">
        <v>18</v>
      </c>
      <c r="D10" s="15">
        <f t="shared" si="0"/>
        <v>0.16666666666666666</v>
      </c>
    </row>
    <row r="11" spans="2:4" x14ac:dyDescent="0.2">
      <c r="B11" s="9" t="s">
        <v>468</v>
      </c>
      <c r="C11" s="22">
        <v>15</v>
      </c>
      <c r="D11" s="15">
        <f t="shared" si="0"/>
        <v>0.1388888888888889</v>
      </c>
    </row>
    <row r="12" spans="2:4" x14ac:dyDescent="0.2">
      <c r="B12" s="9" t="s">
        <v>469</v>
      </c>
      <c r="C12" s="22">
        <v>8</v>
      </c>
      <c r="D12" s="15">
        <f t="shared" si="0"/>
        <v>7.407407407407407E-2</v>
      </c>
    </row>
    <row r="13" spans="2:4" x14ac:dyDescent="0.2">
      <c r="B13" s="9"/>
      <c r="C13" s="22"/>
      <c r="D13" s="15" t="str">
        <f t="shared" si="0"/>
        <v/>
      </c>
    </row>
    <row r="14" spans="2:4" x14ac:dyDescent="0.2">
      <c r="B14" s="9"/>
      <c r="C14" s="22"/>
      <c r="D14" s="15" t="str">
        <f t="shared" si="0"/>
        <v/>
      </c>
    </row>
    <row r="15" spans="2:4" x14ac:dyDescent="0.2">
      <c r="B15" s="9"/>
      <c r="C15" s="22"/>
      <c r="D15" s="15" t="str">
        <f t="shared" si="0"/>
        <v/>
      </c>
    </row>
    <row r="16" spans="2:4" x14ac:dyDescent="0.2">
      <c r="B16" s="9"/>
      <c r="C16" s="22"/>
      <c r="D16" s="15" t="str">
        <f t="shared" si="0"/>
        <v/>
      </c>
    </row>
    <row r="17" spans="2:4" x14ac:dyDescent="0.2">
      <c r="B17" s="9"/>
      <c r="C17" s="22"/>
      <c r="D17" s="15" t="str">
        <f t="shared" si="0"/>
        <v/>
      </c>
    </row>
    <row r="19" spans="2:4" x14ac:dyDescent="0.2">
      <c r="B19" s="5" t="s">
        <v>470</v>
      </c>
      <c r="C19" s="5" t="str">
        <f>IFERROR(INDEX(B8:B17,MATCH(MAX(C8:C17),C8:C17,0)),"—")</f>
        <v>Wobbles / mount comes loose</v>
      </c>
    </row>
    <row r="20" spans="2:4" x14ac:dyDescent="0.2">
      <c r="B20" s="5" t="s">
        <v>471</v>
      </c>
      <c r="C20" s="18">
        <f>IFERROR(MAX(C8:C17)/SUM(C8:C17),"")</f>
        <v>0.42592592592592593</v>
      </c>
    </row>
    <row r="21" spans="2:4" x14ac:dyDescent="0.2">
      <c r="B21" s="5" t="s">
        <v>98</v>
      </c>
      <c r="C21" s="5" t="str">
        <f>IF(C20="","",IF(C20&gt;=0.4,"≥40% — you have an attack hypothesis (Sheet 4, block B).","No dominant theme — weak differentiation basis."))</f>
        <v>≥40% — you have an attack hypothesis (Sheet 4, block B).</v>
      </c>
    </row>
    <row r="23" spans="2:4" x14ac:dyDescent="0.2">
      <c r="B23" s="4" t="s">
        <v>472</v>
      </c>
      <c r="C23" s="4"/>
    </row>
    <row r="24" spans="2:4" ht="28" x14ac:dyDescent="0.2">
      <c r="B24" s="2" t="s">
        <v>473</v>
      </c>
      <c r="C24" s="9" t="s">
        <v>292</v>
      </c>
    </row>
    <row r="25" spans="2:4" ht="28" x14ac:dyDescent="0.2">
      <c r="B25" s="2" t="s">
        <v>474</v>
      </c>
      <c r="C25" s="9" t="s">
        <v>292</v>
      </c>
    </row>
    <row r="26" spans="2:4" ht="28" x14ac:dyDescent="0.2">
      <c r="B26" s="2" t="s">
        <v>475</v>
      </c>
      <c r="C26" s="9" t="s">
        <v>292</v>
      </c>
    </row>
    <row r="27" spans="2:4" x14ac:dyDescent="0.2">
      <c r="B27" s="2" t="s">
        <v>476</v>
      </c>
      <c r="C27" s="9" t="s">
        <v>292</v>
      </c>
    </row>
    <row r="28" spans="2:4" ht="28" x14ac:dyDescent="0.2">
      <c r="B28" s="2" t="s">
        <v>477</v>
      </c>
      <c r="C28" s="9" t="s">
        <v>292</v>
      </c>
    </row>
    <row r="29" spans="2:4" ht="28" x14ac:dyDescent="0.2">
      <c r="B29" s="2" t="s">
        <v>478</v>
      </c>
      <c r="C29" s="9" t="s">
        <v>292</v>
      </c>
    </row>
    <row r="30" spans="2:4" x14ac:dyDescent="0.2">
      <c r="B30" s="5" t="s">
        <v>479</v>
      </c>
      <c r="C30" s="23">
        <f>COUNTIF(C24:C29,"YES")</f>
        <v>0</v>
      </c>
    </row>
    <row r="31" spans="2:4" x14ac:dyDescent="0.2">
      <c r="B31" s="5" t="s">
        <v>98</v>
      </c>
      <c r="C31" s="5" t="str">
        <f>IF(C30&gt;=2,"Treat this review wall as partly fake — the moat is weaker than it looks (adjust Sheet 5, review moat).","No strong fake signals.")</f>
        <v>No strong fake signals.</v>
      </c>
    </row>
    <row r="33" spans="2:2" ht="39" x14ac:dyDescent="0.2">
      <c r="B33" s="3" t="s">
        <v>480</v>
      </c>
    </row>
  </sheetData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7D31"/>
  </sheetPr>
  <dimension ref="B1:N38"/>
  <sheetViews>
    <sheetView workbookViewId="0"/>
  </sheetViews>
  <sheetFormatPr baseColWidth="10" defaultColWidth="8.83203125" defaultRowHeight="15" x14ac:dyDescent="0.2"/>
  <cols>
    <col min="1" max="1" width="2" customWidth="1"/>
    <col min="2" max="2" width="44" customWidth="1"/>
    <col min="3" max="14" width="10" customWidth="1"/>
  </cols>
  <sheetData>
    <row r="1" spans="2:6" x14ac:dyDescent="0.2">
      <c r="B1" s="6" t="str">
        <f>HYPERLINK("#Start!B2","← Start")</f>
        <v>← Start</v>
      </c>
    </row>
    <row r="2" spans="2:6" ht="16" x14ac:dyDescent="0.2">
      <c r="B2" s="1" t="s">
        <v>481</v>
      </c>
    </row>
    <row r="3" spans="2:6" ht="70" x14ac:dyDescent="0.2">
      <c r="B3" s="2" t="s">
        <v>482</v>
      </c>
    </row>
    <row r="5" spans="2:6" x14ac:dyDescent="0.2">
      <c r="B5" s="4" t="s">
        <v>483</v>
      </c>
      <c r="C5" s="4"/>
    </row>
    <row r="6" spans="2:6" x14ac:dyDescent="0.2">
      <c r="B6" s="11" t="s">
        <v>484</v>
      </c>
      <c r="C6" s="34">
        <f>'8 Cash flow'!C15</f>
        <v>6500</v>
      </c>
    </row>
    <row r="7" spans="2:6" ht="117" x14ac:dyDescent="0.2">
      <c r="B7" s="11" t="s">
        <v>485</v>
      </c>
      <c r="C7" s="12">
        <v>400</v>
      </c>
      <c r="E7" s="3" t="s">
        <v>486</v>
      </c>
    </row>
    <row r="8" spans="2:6" x14ac:dyDescent="0.2">
      <c r="B8" s="11" t="s">
        <v>487</v>
      </c>
      <c r="C8" s="26">
        <v>0.4</v>
      </c>
    </row>
    <row r="10" spans="2:6" x14ac:dyDescent="0.2">
      <c r="B10" s="4" t="s">
        <v>488</v>
      </c>
      <c r="C10" s="4" t="s">
        <v>489</v>
      </c>
      <c r="D10" s="4" t="s">
        <v>490</v>
      </c>
      <c r="E10" s="4" t="s">
        <v>491</v>
      </c>
    </row>
    <row r="11" spans="2:6" x14ac:dyDescent="0.2">
      <c r="B11" s="11" t="s">
        <v>492</v>
      </c>
      <c r="C11" s="22">
        <v>1</v>
      </c>
      <c r="D11" s="22">
        <v>3</v>
      </c>
      <c r="E11" s="22"/>
    </row>
    <row r="12" spans="2:6" x14ac:dyDescent="0.2">
      <c r="B12" s="11" t="s">
        <v>493</v>
      </c>
      <c r="C12" s="12">
        <v>300</v>
      </c>
      <c r="D12" s="12">
        <v>300</v>
      </c>
      <c r="E12" s="12"/>
    </row>
    <row r="13" spans="2:6" ht="182" x14ac:dyDescent="0.2">
      <c r="B13" s="11" t="s">
        <v>494</v>
      </c>
      <c r="C13" s="33">
        <f>'3 Unit economics'!C26+'3 Unit economics'!C28</f>
        <v>33.268970588235298</v>
      </c>
      <c r="D13" s="25">
        <v>20</v>
      </c>
      <c r="E13" s="25"/>
      <c r="F13" s="3" t="s">
        <v>495</v>
      </c>
    </row>
    <row r="14" spans="2:6" x14ac:dyDescent="0.2">
      <c r="B14" s="11" t="s">
        <v>496</v>
      </c>
      <c r="C14" s="33">
        <f>'6 Order size'!C15</f>
        <v>12.929399999999999</v>
      </c>
      <c r="D14" s="25">
        <v>13</v>
      </c>
      <c r="E14" s="25"/>
    </row>
    <row r="15" spans="2:6" x14ac:dyDescent="0.2">
      <c r="B15" s="11" t="s">
        <v>497</v>
      </c>
      <c r="C15" s="12">
        <v>6000</v>
      </c>
      <c r="D15" s="12">
        <v>6500</v>
      </c>
      <c r="E15" s="12"/>
    </row>
    <row r="16" spans="2:6" ht="91" x14ac:dyDescent="0.2">
      <c r="B16" s="11" t="s">
        <v>498</v>
      </c>
      <c r="C16" s="25">
        <v>3</v>
      </c>
      <c r="D16" s="25">
        <v>3</v>
      </c>
      <c r="E16" s="25"/>
      <c r="F16" s="3" t="s">
        <v>499</v>
      </c>
    </row>
    <row r="18" spans="2:14" x14ac:dyDescent="0.2">
      <c r="C18" s="5" t="s">
        <v>500</v>
      </c>
      <c r="G18" s="5" t="s">
        <v>501</v>
      </c>
      <c r="K18" s="5" t="s">
        <v>502</v>
      </c>
    </row>
    <row r="19" spans="2:14" x14ac:dyDescent="0.2">
      <c r="B19" s="4" t="s">
        <v>503</v>
      </c>
      <c r="C19" s="36">
        <v>1</v>
      </c>
      <c r="D19" s="36">
        <v>2</v>
      </c>
      <c r="E19" s="36">
        <v>3</v>
      </c>
      <c r="F19" s="36">
        <v>4</v>
      </c>
      <c r="G19" s="36">
        <v>5</v>
      </c>
      <c r="H19" s="36">
        <v>6</v>
      </c>
      <c r="I19" s="36">
        <v>7</v>
      </c>
      <c r="J19" s="36">
        <v>8</v>
      </c>
      <c r="K19" s="36">
        <v>9</v>
      </c>
      <c r="L19" s="36">
        <v>10</v>
      </c>
      <c r="M19" s="36">
        <v>11</v>
      </c>
      <c r="N19" s="36">
        <v>12</v>
      </c>
    </row>
    <row r="20" spans="2:14" x14ac:dyDescent="0.2">
      <c r="B20" s="11" t="s">
        <v>504</v>
      </c>
      <c r="C20" s="13">
        <f t="shared" ref="C20:N20" si="0">IF(OR($C$11="",C$19&lt;$C$11),0,ROUND($C$12*IF(C$19-$C$11=0,$C$8,IF(C$19-$C$11=1,($C$8+1)/2,1)),0))</f>
        <v>120</v>
      </c>
      <c r="D20" s="13">
        <f t="shared" si="0"/>
        <v>210</v>
      </c>
      <c r="E20" s="13">
        <f t="shared" si="0"/>
        <v>300</v>
      </c>
      <c r="F20" s="13">
        <f t="shared" si="0"/>
        <v>300</v>
      </c>
      <c r="G20" s="13">
        <f t="shared" si="0"/>
        <v>300</v>
      </c>
      <c r="H20" s="13">
        <f t="shared" si="0"/>
        <v>300</v>
      </c>
      <c r="I20" s="13">
        <f t="shared" si="0"/>
        <v>300</v>
      </c>
      <c r="J20" s="13">
        <f t="shared" si="0"/>
        <v>300</v>
      </c>
      <c r="K20" s="13">
        <f t="shared" si="0"/>
        <v>300</v>
      </c>
      <c r="L20" s="13">
        <f t="shared" si="0"/>
        <v>300</v>
      </c>
      <c r="M20" s="13">
        <f t="shared" si="0"/>
        <v>300</v>
      </c>
      <c r="N20" s="13">
        <f t="shared" si="0"/>
        <v>300</v>
      </c>
    </row>
    <row r="21" spans="2:14" x14ac:dyDescent="0.2">
      <c r="B21" s="11" t="s">
        <v>505</v>
      </c>
      <c r="C21" s="13">
        <f t="shared" ref="C21:N21" si="1">IF(OR($D$11="",C$19&lt;$D$11),0,ROUND($D$12*IF(C$19-$D$11=0,$C$8,IF(C$19-$D$11=1,($C$8+1)/2,1)),0))</f>
        <v>0</v>
      </c>
      <c r="D21" s="13">
        <f t="shared" si="1"/>
        <v>0</v>
      </c>
      <c r="E21" s="13">
        <f t="shared" si="1"/>
        <v>120</v>
      </c>
      <c r="F21" s="13">
        <f t="shared" si="1"/>
        <v>210</v>
      </c>
      <c r="G21" s="13">
        <f t="shared" si="1"/>
        <v>300</v>
      </c>
      <c r="H21" s="13">
        <f t="shared" si="1"/>
        <v>300</v>
      </c>
      <c r="I21" s="13">
        <f t="shared" si="1"/>
        <v>300</v>
      </c>
      <c r="J21" s="13">
        <f t="shared" si="1"/>
        <v>300</v>
      </c>
      <c r="K21" s="13">
        <f t="shared" si="1"/>
        <v>300</v>
      </c>
      <c r="L21" s="13">
        <f t="shared" si="1"/>
        <v>300</v>
      </c>
      <c r="M21" s="13">
        <f t="shared" si="1"/>
        <v>300</v>
      </c>
      <c r="N21" s="13">
        <f t="shared" si="1"/>
        <v>300</v>
      </c>
    </row>
    <row r="22" spans="2:14" x14ac:dyDescent="0.2">
      <c r="B22" s="11" t="s">
        <v>506</v>
      </c>
      <c r="C22" s="13">
        <f t="shared" ref="C22:N22" si="2">IF(OR($E$11="",C$19&lt;$E$11),0,ROUND($E$12*IF(C$19-$E$11=0,$C$8,IF(C$19-$E$11=1,($C$8+1)/2,1)),0))</f>
        <v>0</v>
      </c>
      <c r="D22" s="13">
        <f t="shared" si="2"/>
        <v>0</v>
      </c>
      <c r="E22" s="13">
        <f t="shared" si="2"/>
        <v>0</v>
      </c>
      <c r="F22" s="13">
        <f t="shared" si="2"/>
        <v>0</v>
      </c>
      <c r="G22" s="13">
        <f t="shared" si="2"/>
        <v>0</v>
      </c>
      <c r="H22" s="13">
        <f t="shared" si="2"/>
        <v>0</v>
      </c>
      <c r="I22" s="13">
        <f t="shared" si="2"/>
        <v>0</v>
      </c>
      <c r="J22" s="13">
        <f t="shared" si="2"/>
        <v>0</v>
      </c>
      <c r="K22" s="13">
        <f t="shared" si="2"/>
        <v>0</v>
      </c>
      <c r="L22" s="13">
        <f t="shared" si="2"/>
        <v>0</v>
      </c>
      <c r="M22" s="13">
        <f t="shared" si="2"/>
        <v>0</v>
      </c>
      <c r="N22" s="13">
        <f t="shared" si="2"/>
        <v>0</v>
      </c>
    </row>
    <row r="24" spans="2:14" x14ac:dyDescent="0.2">
      <c r="B24" s="11" t="s">
        <v>507</v>
      </c>
      <c r="C24" s="13">
        <f t="shared" ref="C24:N24" si="3">ROUND(C20*N($C$13)+C21*N($D$13)+C22*N($E$13),0)</f>
        <v>3992</v>
      </c>
      <c r="D24" s="13">
        <f t="shared" si="3"/>
        <v>6986</v>
      </c>
      <c r="E24" s="13">
        <f t="shared" si="3"/>
        <v>12381</v>
      </c>
      <c r="F24" s="13">
        <f t="shared" si="3"/>
        <v>14181</v>
      </c>
      <c r="G24" s="13">
        <f t="shared" si="3"/>
        <v>15981</v>
      </c>
      <c r="H24" s="13">
        <f t="shared" si="3"/>
        <v>15981</v>
      </c>
      <c r="I24" s="13">
        <f t="shared" si="3"/>
        <v>15981</v>
      </c>
      <c r="J24" s="13">
        <f t="shared" si="3"/>
        <v>15981</v>
      </c>
      <c r="K24" s="13">
        <f t="shared" si="3"/>
        <v>15981</v>
      </c>
      <c r="L24" s="13">
        <f t="shared" si="3"/>
        <v>15981</v>
      </c>
      <c r="M24" s="13">
        <f t="shared" si="3"/>
        <v>15981</v>
      </c>
      <c r="N24" s="13">
        <f t="shared" si="3"/>
        <v>15981</v>
      </c>
    </row>
    <row r="25" spans="2:14" x14ac:dyDescent="0.2">
      <c r="B25" s="11" t="s">
        <v>508</v>
      </c>
      <c r="C25" s="13">
        <f t="shared" ref="C25:M25" si="4">ROUND(IF(OR($C$11="",D$19=$C$11),0,D20)*N($C$14)+IF(OR($D$11="",D$19=$D$11),0,D21)*N($D$14)+IF(OR($E$11="",D$19=$E$11),0,D22)*N($E$14),0)</f>
        <v>2715</v>
      </c>
      <c r="D25" s="13">
        <f t="shared" si="4"/>
        <v>3879</v>
      </c>
      <c r="E25" s="13">
        <f t="shared" si="4"/>
        <v>6609</v>
      </c>
      <c r="F25" s="13">
        <f t="shared" si="4"/>
        <v>7779</v>
      </c>
      <c r="G25" s="13">
        <f t="shared" si="4"/>
        <v>7779</v>
      </c>
      <c r="H25" s="13">
        <f t="shared" si="4"/>
        <v>7779</v>
      </c>
      <c r="I25" s="13">
        <f t="shared" si="4"/>
        <v>7779</v>
      </c>
      <c r="J25" s="13">
        <f t="shared" si="4"/>
        <v>7779</v>
      </c>
      <c r="K25" s="13">
        <f t="shared" si="4"/>
        <v>7779</v>
      </c>
      <c r="L25" s="13">
        <f t="shared" si="4"/>
        <v>7779</v>
      </c>
      <c r="M25" s="13">
        <f t="shared" si="4"/>
        <v>7779</v>
      </c>
      <c r="N25" s="13">
        <f>0</f>
        <v>0</v>
      </c>
    </row>
    <row r="26" spans="2:14" x14ac:dyDescent="0.2">
      <c r="B26" s="11" t="s">
        <v>509</v>
      </c>
      <c r="C26" s="13">
        <f t="shared" ref="C26:N26" si="5">SUMPRODUCT(($C$11:$E$11=C$19+1)*$C$15:$E$15)+IF(C$19=1,SUMPRODUCT(($C$11:$E$11=1)*$C$15:$E$15),0)</f>
        <v>6000</v>
      </c>
      <c r="D26" s="13">
        <f t="shared" si="5"/>
        <v>6500</v>
      </c>
      <c r="E26" s="13">
        <f t="shared" si="5"/>
        <v>0</v>
      </c>
      <c r="F26" s="13">
        <f t="shared" si="5"/>
        <v>0</v>
      </c>
      <c r="G26" s="13">
        <f t="shared" si="5"/>
        <v>0</v>
      </c>
      <c r="H26" s="13">
        <f t="shared" si="5"/>
        <v>0</v>
      </c>
      <c r="I26" s="13">
        <f t="shared" si="5"/>
        <v>0</v>
      </c>
      <c r="J26" s="13">
        <f t="shared" si="5"/>
        <v>0</v>
      </c>
      <c r="K26" s="13">
        <f t="shared" si="5"/>
        <v>0</v>
      </c>
      <c r="L26" s="13">
        <f t="shared" si="5"/>
        <v>0</v>
      </c>
      <c r="M26" s="13">
        <f t="shared" si="5"/>
        <v>0</v>
      </c>
      <c r="N26" s="13">
        <f t="shared" si="5"/>
        <v>0</v>
      </c>
    </row>
    <row r="27" spans="2:14" x14ac:dyDescent="0.2">
      <c r="B27" s="11" t="s">
        <v>510</v>
      </c>
      <c r="C27" s="13">
        <f t="shared" ref="C27:N27" si="6">ROUND(C20*N($C$16)+C21*N($D$16)+C22*N($E$16),0)</f>
        <v>360</v>
      </c>
      <c r="D27" s="13">
        <f t="shared" si="6"/>
        <v>630</v>
      </c>
      <c r="E27" s="13">
        <f t="shared" si="6"/>
        <v>1260</v>
      </c>
      <c r="F27" s="13">
        <f t="shared" si="6"/>
        <v>1530</v>
      </c>
      <c r="G27" s="13">
        <f t="shared" si="6"/>
        <v>1800</v>
      </c>
      <c r="H27" s="13">
        <f t="shared" si="6"/>
        <v>1800</v>
      </c>
      <c r="I27" s="13">
        <f t="shared" si="6"/>
        <v>1800</v>
      </c>
      <c r="J27" s="13">
        <f t="shared" si="6"/>
        <v>1800</v>
      </c>
      <c r="K27" s="13">
        <f t="shared" si="6"/>
        <v>1800</v>
      </c>
      <c r="L27" s="13">
        <f t="shared" si="6"/>
        <v>1800</v>
      </c>
      <c r="M27" s="13">
        <f t="shared" si="6"/>
        <v>1800</v>
      </c>
      <c r="N27" s="13">
        <f t="shared" si="6"/>
        <v>1800</v>
      </c>
    </row>
    <row r="28" spans="2:14" x14ac:dyDescent="0.2">
      <c r="B28" s="11" t="s">
        <v>511</v>
      </c>
      <c r="C28" s="13">
        <f t="shared" ref="C28:N28" si="7">$C$7</f>
        <v>400</v>
      </c>
      <c r="D28" s="13">
        <f t="shared" si="7"/>
        <v>400</v>
      </c>
      <c r="E28" s="13">
        <f t="shared" si="7"/>
        <v>400</v>
      </c>
      <c r="F28" s="13">
        <f t="shared" si="7"/>
        <v>400</v>
      </c>
      <c r="G28" s="13">
        <f t="shared" si="7"/>
        <v>400</v>
      </c>
      <c r="H28" s="13">
        <f t="shared" si="7"/>
        <v>400</v>
      </c>
      <c r="I28" s="13">
        <f t="shared" si="7"/>
        <v>400</v>
      </c>
      <c r="J28" s="13">
        <f t="shared" si="7"/>
        <v>400</v>
      </c>
      <c r="K28" s="13">
        <f t="shared" si="7"/>
        <v>400</v>
      </c>
      <c r="L28" s="13">
        <f t="shared" si="7"/>
        <v>400</v>
      </c>
      <c r="M28" s="13">
        <f t="shared" si="7"/>
        <v>400</v>
      </c>
      <c r="N28" s="13">
        <f t="shared" si="7"/>
        <v>400</v>
      </c>
    </row>
    <row r="29" spans="2:14" x14ac:dyDescent="0.2">
      <c r="B29" s="5" t="s">
        <v>512</v>
      </c>
      <c r="C29" s="17">
        <f t="shared" ref="C29:N29" si="8">C24-C25-C26-C27-C28</f>
        <v>-5483</v>
      </c>
      <c r="D29" s="17">
        <f t="shared" si="8"/>
        <v>-4423</v>
      </c>
      <c r="E29" s="17">
        <f t="shared" si="8"/>
        <v>4112</v>
      </c>
      <c r="F29" s="17">
        <f t="shared" si="8"/>
        <v>4472</v>
      </c>
      <c r="G29" s="17">
        <f t="shared" si="8"/>
        <v>6002</v>
      </c>
      <c r="H29" s="17">
        <f t="shared" si="8"/>
        <v>6002</v>
      </c>
      <c r="I29" s="17">
        <f t="shared" si="8"/>
        <v>6002</v>
      </c>
      <c r="J29" s="17">
        <f t="shared" si="8"/>
        <v>6002</v>
      </c>
      <c r="K29" s="17">
        <f t="shared" si="8"/>
        <v>6002</v>
      </c>
      <c r="L29" s="17">
        <f t="shared" si="8"/>
        <v>6002</v>
      </c>
      <c r="M29" s="17">
        <f t="shared" si="8"/>
        <v>6002</v>
      </c>
      <c r="N29" s="17">
        <f t="shared" si="8"/>
        <v>13781</v>
      </c>
    </row>
    <row r="30" spans="2:14" x14ac:dyDescent="0.2">
      <c r="B30" s="5" t="s">
        <v>513</v>
      </c>
      <c r="C30" s="17">
        <f>$C$6+C29</f>
        <v>1017</v>
      </c>
      <c r="D30" s="17">
        <f t="shared" ref="D30:N30" si="9">C30+D29</f>
        <v>-3406</v>
      </c>
      <c r="E30" s="17">
        <f t="shared" si="9"/>
        <v>706</v>
      </c>
      <c r="F30" s="17">
        <f t="shared" si="9"/>
        <v>5178</v>
      </c>
      <c r="G30" s="17">
        <f t="shared" si="9"/>
        <v>11180</v>
      </c>
      <c r="H30" s="17">
        <f t="shared" si="9"/>
        <v>17182</v>
      </c>
      <c r="I30" s="17">
        <f t="shared" si="9"/>
        <v>23184</v>
      </c>
      <c r="J30" s="17">
        <f t="shared" si="9"/>
        <v>29186</v>
      </c>
      <c r="K30" s="17">
        <f t="shared" si="9"/>
        <v>35188</v>
      </c>
      <c r="L30" s="17">
        <f t="shared" si="9"/>
        <v>41190</v>
      </c>
      <c r="M30" s="17">
        <f t="shared" si="9"/>
        <v>47192</v>
      </c>
      <c r="N30" s="17">
        <f t="shared" si="9"/>
        <v>60973</v>
      </c>
    </row>
    <row r="32" spans="2:14" x14ac:dyDescent="0.2">
      <c r="B32" s="5" t="s">
        <v>514</v>
      </c>
      <c r="C32" s="17">
        <f>MIN(C30:N30)</f>
        <v>-3406</v>
      </c>
    </row>
    <row r="33" spans="2:11" x14ac:dyDescent="0.2">
      <c r="B33" s="5" t="str">
        <f>IF(C32&lt;0,"⚠ The launch schedule outruns the cash. Push a launch quarter later, shrink an order, or add capital — the plan as typed is not funded.","OK — every quarter stays above zero. The lowest point is your true capital requirement buffer.")</f>
        <v>⚠ The launch schedule outruns the cash. Push a launch quarter later, shrink an order, or add capital — the plan as typed is not funded.</v>
      </c>
    </row>
    <row r="34" spans="2:11" x14ac:dyDescent="0.2">
      <c r="B34" s="11" t="s">
        <v>515</v>
      </c>
      <c r="C34" s="13">
        <f>SUM(C29:F29)</f>
        <v>-1322</v>
      </c>
      <c r="G34" s="13">
        <f>SUM(G29:J29)</f>
        <v>24008</v>
      </c>
      <c r="K34" s="13">
        <f>SUM(K29:N29)</f>
        <v>31787</v>
      </c>
    </row>
    <row r="36" spans="2:11" ht="65" x14ac:dyDescent="0.2">
      <c r="B36" s="3" t="s">
        <v>516</v>
      </c>
    </row>
    <row r="37" spans="2:11" ht="78" x14ac:dyDescent="0.2">
      <c r="B37" s="3" t="s">
        <v>517</v>
      </c>
    </row>
    <row r="38" spans="2:11" ht="52" x14ac:dyDescent="0.2">
      <c r="B38" s="3" t="s">
        <v>518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Start</vt:lpstr>
      <vt:lpstr>Guide</vt:lpstr>
      <vt:lpstr>1 Seasonality</vt:lpstr>
      <vt:lpstr>2 Order timing</vt:lpstr>
      <vt:lpstr>3 Unit economics</vt:lpstr>
      <vt:lpstr>4 Selection</vt:lpstr>
      <vt:lpstr>5 Niche scorecard</vt:lpstr>
      <vt:lpstr>6 Order size</vt:lpstr>
      <vt:lpstr>7 PPC planner</vt:lpstr>
      <vt:lpstr>8 Cash flow</vt:lpstr>
      <vt:lpstr>9 Monthly P&amp;L</vt:lpstr>
      <vt:lpstr>10 Money recovery</vt:lpstr>
      <vt:lpstr>11 Review themes</vt:lpstr>
      <vt:lpstr>12 Multi-year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Vardanyan</cp:lastModifiedBy>
  <dcterms:created xsi:type="dcterms:W3CDTF">2026-09-16T16:47:26Z</dcterms:created>
  <dcterms:modified xsi:type="dcterms:W3CDTF">2026-09-16T16:47:40Z</dcterms:modified>
</cp:coreProperties>
</file>